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F:\Jon\Tariffs research &amp; Monthly Quota Update\Monthly Quota Spreadsheets\"/>
    </mc:Choice>
  </mc:AlternateContent>
  <xr:revisionPtr revIDLastSave="0" documentId="13_ncr:1_{06157950-799A-49C4-9984-C32E0C151400}" xr6:coauthVersionLast="47" xr6:coauthVersionMax="47" xr10:uidLastSave="{00000000-0000-0000-0000-000000000000}"/>
  <bookViews>
    <workbookView xWindow="-28910" yWindow="-110" windowWidth="29020" windowHeight="15700" xr2:uid="{00000000-000D-0000-FFFF-FFFF00000000}"/>
  </bookViews>
  <sheets>
    <sheet name="Instructions" sheetId="3" r:id="rId1"/>
    <sheet name="European Union" sheetId="5" r:id="rId2"/>
    <sheet name="United Kingdom" sheetId="4" r:id="rId3"/>
  </sheets>
  <definedNames>
    <definedName name="Slicer_Country1">#N/A</definedName>
    <definedName name="Slicer_Country3">#N/A</definedName>
    <definedName name="Slicer_Quota_Category2">#N/A</definedName>
    <definedName name="Slicer_Quota_Category3">#N/A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8" i="3" l="1"/>
  <c r="A7" i="3"/>
  <c r="A23" i="3" l="1"/>
  <c r="A22" i="3"/>
</calcChain>
</file>

<file path=xl/sharedStrings.xml><?xml version="1.0" encoding="utf-8"?>
<sst xmlns="http://schemas.openxmlformats.org/spreadsheetml/2006/main" count="521" uniqueCount="124">
  <si>
    <t>Quota Category</t>
  </si>
  <si>
    <t>Balance Remaining (Tonnes)</t>
  </si>
  <si>
    <t>% Balance Remaining</t>
  </si>
  <si>
    <t>% Quota Allocated</t>
  </si>
  <si>
    <t>Instructions for sorting the data</t>
  </si>
  <si>
    <t>Notes on the source data</t>
  </si>
  <si>
    <t>Use the drop down menus in the table headers to organise and sort the data.</t>
  </si>
  <si>
    <t>Use Clear Filters in the top right of the slicer box to remove applied filters.</t>
  </si>
  <si>
    <t>Select multiple categories by holding down the Ctrl key or clicking on the multiple selection symbol in the top right of the slicer box.</t>
  </si>
  <si>
    <t>Country</t>
  </si>
  <si>
    <t>MEPS European Union Quota Update</t>
  </si>
  <si>
    <t>Turkey</t>
  </si>
  <si>
    <t>India</t>
  </si>
  <si>
    <t>Korea, Republic of</t>
  </si>
  <si>
    <t>United Kingdom</t>
  </si>
  <si>
    <t>Other countries</t>
  </si>
  <si>
    <t>China</t>
  </si>
  <si>
    <t>Taiwan</t>
  </si>
  <si>
    <t>Tin Mill products</t>
  </si>
  <si>
    <t>United States</t>
  </si>
  <si>
    <t>Stainless Hot Rolled Quarto Plates</t>
  </si>
  <si>
    <t>Non Alloy and Other Alloy Merchant Bars and Light Sections</t>
  </si>
  <si>
    <t>Switzerland</t>
  </si>
  <si>
    <t>Rebars</t>
  </si>
  <si>
    <t>Bosnia and Herzegovina</t>
  </si>
  <si>
    <t>Moldova, Republic of</t>
  </si>
  <si>
    <t>Stainless Bars and Light Sections</t>
  </si>
  <si>
    <t>Stainless Wire Rod</t>
  </si>
  <si>
    <t>Japan</t>
  </si>
  <si>
    <t>Non Alloy and Other Alloy Wire Rod</t>
  </si>
  <si>
    <t>Angles, Shapes and Sections of Iron or Non Alloy Steel</t>
  </si>
  <si>
    <t>Sheet Piling</t>
  </si>
  <si>
    <t>United Arab Emirates</t>
  </si>
  <si>
    <t>Railway Material</t>
  </si>
  <si>
    <t>Gas pipes</t>
  </si>
  <si>
    <t>North Macedonia</t>
  </si>
  <si>
    <t>Hollow sections</t>
  </si>
  <si>
    <t>Seamless Stainless Tubes and Pipes</t>
  </si>
  <si>
    <t>Other Seamless Tubes</t>
  </si>
  <si>
    <t>Other Welded Pipes</t>
  </si>
  <si>
    <t>Non-alloy and other alloy cold finished bars</t>
  </si>
  <si>
    <t>Non Alloy Wire</t>
  </si>
  <si>
    <t>Source: EU Tariff quota consultation</t>
  </si>
  <si>
    <t>Imports are assigned to one of 29 different product categories.</t>
  </si>
  <si>
    <t>Where a nation does not receive a country specific quota their imports are counted in the "Other countries" category.</t>
  </si>
  <si>
    <t>Unused quota tonnages are rolled over to the following quarter.</t>
  </si>
  <si>
    <t>If a nation receiving a country specific quota completely uses its allowance throughout the year it may use the "Other countries" allowance in the April - June period.</t>
  </si>
  <si>
    <t>Many of the largest nations will receive a country specific quota, with tonnage allowances based on historical import volumes.</t>
  </si>
  <si>
    <t>MEPS United Kingdom Quota Update</t>
  </si>
  <si>
    <t>Source: UK Integrated Online Tariff</t>
  </si>
  <si>
    <t>Quota Limit (Tonnes)</t>
  </si>
  <si>
    <t>European Union</t>
  </si>
  <si>
    <t>All others</t>
  </si>
  <si>
    <t>Metallic coated sheet</t>
  </si>
  <si>
    <t>Organic coated sheet</t>
  </si>
  <si>
    <t>Non-alloy and Other Alloy Quarto Plates</t>
  </si>
  <si>
    <t>Alloy merchant bars and light sections</t>
  </si>
  <si>
    <t>Non-alloy merchant bars and light sections</t>
  </si>
  <si>
    <t>Non-alloy and Other Alloy Wire Rod</t>
  </si>
  <si>
    <t>Imports are assigned to one of 17 different product categories.</t>
  </si>
  <si>
    <t>Where a nation does not receive a country specific quota their imports are counted in the "All others" category.</t>
  </si>
  <si>
    <t>If a nation receiving a country specific quota completely uses its allowance throughout the year it may use the "All others" allowance in the April - June period.</t>
  </si>
  <si>
    <t>For ease of use the data has been split into separate tabs for each region/nation.</t>
  </si>
  <si>
    <t>The European Union tab includes data on imports of finished steel products into the European Union.</t>
  </si>
  <si>
    <t>Figures are update daily, with the latest available data correct as at the end of the previous working day.</t>
  </si>
  <si>
    <t>Clicking the bars in the slicers at the top of the table will filter the data by Quota Category, Country or Quota Allowance Granted.</t>
  </si>
  <si>
    <t>European Union - Tariff Rate Quotas</t>
  </si>
  <si>
    <t>United Kingdom - Tariff Rate Quotas</t>
  </si>
  <si>
    <t>Quota Allocated (Tonnes)</t>
  </si>
  <si>
    <t>South Africa</t>
  </si>
  <si>
    <t>Quotas are administered quarterly on a first-come first-serve basis.</t>
  </si>
  <si>
    <t>The United Kingdom tab includes data on imports of finished steel products into the United Kingdom.</t>
  </si>
  <si>
    <t>Slicer filters can be applied separately, combined or cleared.</t>
  </si>
  <si>
    <t>Slab</t>
  </si>
  <si>
    <t>Russia</t>
  </si>
  <si>
    <t>From October 7 2022 an annual quota applies to imports of slab and billet from Russia. All other semi-finished material has been banned.</t>
  </si>
  <si>
    <t>Türkiye</t>
  </si>
  <si>
    <t>Large welded tubes</t>
  </si>
  <si>
    <t>Egypt*</t>
  </si>
  <si>
    <t>Japan*</t>
  </si>
  <si>
    <t>Malaysia*</t>
  </si>
  <si>
    <t>Algeria*</t>
  </si>
  <si>
    <t>Bosnia and Herzegovina*</t>
  </si>
  <si>
    <t>Korea, Republic of*</t>
  </si>
  <si>
    <t>Indonesia*</t>
  </si>
  <si>
    <t>Serbia*</t>
  </si>
  <si>
    <t>Republic of Korea</t>
  </si>
  <si>
    <t>Angles, Shapes and Sections of Iron or Non-alloy Steel</t>
  </si>
  <si>
    <t>Large welded tubes - 25A</t>
  </si>
  <si>
    <t>Large welded tubes - 25B</t>
  </si>
  <si>
    <t>Serbia</t>
  </si>
  <si>
    <t>Vietnam*</t>
  </si>
  <si>
    <t>Taiwan*</t>
  </si>
  <si>
    <t>Australia*</t>
  </si>
  <si>
    <t>Switzerland*</t>
  </si>
  <si>
    <t>United States*</t>
  </si>
  <si>
    <t>Libya*</t>
  </si>
  <si>
    <t>Canada*</t>
  </si>
  <si>
    <t>Non Alloy and Other Alloy Cold Rolled Sheets</t>
  </si>
  <si>
    <t>Iran, Islamic Republic of</t>
  </si>
  <si>
    <t>Organic Coated Sheets</t>
  </si>
  <si>
    <t>Non Alloy and Other Alloy Quarto Plates</t>
  </si>
  <si>
    <t>Stainless Hot Rolled Sheets and Strips</t>
  </si>
  <si>
    <t>Stainless Cold Rolled Sheets and Strips</t>
  </si>
  <si>
    <t>Non-alloy and other alloy hot-rolled sheet and strip 1A</t>
  </si>
  <si>
    <t>Non-alloy and other alloy hot-rolled sheet and strip 1B</t>
  </si>
  <si>
    <t>Metallic Coated Sheets - 4a</t>
  </si>
  <si>
    <t>Metallic Coated Sheets - 4b</t>
  </si>
  <si>
    <t>This spreadsheet contains data for the safeguard systems for both the European Union and the United Kingdom.</t>
  </si>
  <si>
    <t>Current quota period: 01-Apr-2025 to 30-Jun-2025</t>
  </si>
  <si>
    <t>Non Alloy and Other Alloy Hot Rolled Sheets and Strips - 1a</t>
  </si>
  <si>
    <t>Non Alloy and Other Alloy Hot Rolled Sheets and Strips - 1b</t>
  </si>
  <si>
    <t>Türkiye*</t>
  </si>
  <si>
    <t>Electrical Sheets (other than GOES) - 3a</t>
  </si>
  <si>
    <t>Electrical Sheets (other than GOES) - 3b</t>
  </si>
  <si>
    <t>India*</t>
  </si>
  <si>
    <t>China*</t>
  </si>
  <si>
    <t>United Kingdom*</t>
  </si>
  <si>
    <t>United Arab Emirates*</t>
  </si>
  <si>
    <t>Large welded tubes: others</t>
  </si>
  <si>
    <t>MEPS Quota Update - May 2025</t>
  </si>
  <si>
    <t>Latest available data: 19-May-2025</t>
  </si>
  <si>
    <t>On September 30, 2024, the UK government announced the introduction of a new 2.3 million tonne annual Category 1B quota for steel imports, designated exclusively for downstream processing. For this quota a 40% usage cap is applied to individual exporting nations. 
On January 22, 2025 the UK government discontinued safeguards on Non-alloy and other alloy cold-rolled sheet.
Unused balances from the previous period have now been rolled over.</t>
  </si>
  <si>
    <t>Following the introduction of individual country caps under the EU import safeguard measures for nations covered by the "other countries" quota, MEPS now provides a detailed breakdown of the relevant quota allocations across affected product categories.
Nations granted an order number within an "other countries" quota are marked with an *. The figure in the “Quota Limit (Tonnes)” column shows these nations' maximum allocation of the “other countries” quota. This is operated on a first-come, first-serve basis. If the quota limit is reached before their allocation is used, then the 25% above-quota tariff may be applied. Please note that this is not an exhaustive list of the nations which fall within the “other countries” quota.
Unused balances from the previous period have now been rolled 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</si>
</sst>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17" x14ac:knownFonts="1">
    <font>
      <sz val="11"/>
      <color theme="1"/>
      <name val="Calibri"/>
      <family val="2"/>
      <scheme val="minor"/>
    </font>
    <font>
      <sz val="11"/>
      <color theme="1"/>
      <name val="Calibri"/>
      <family val="2"/>
      <scheme val="minor"/>
    </font>
    <font>
      <sz val="11"/>
      <color theme="0"/>
      <name val="Kalinga"/>
      <family val="2"/>
    </font>
    <font>
      <sz val="11"/>
      <color theme="1"/>
      <name val="Kalinga"/>
      <family val="2"/>
    </font>
    <font>
      <sz val="16"/>
      <color theme="0"/>
      <name val="Kalinga"/>
      <family val="2"/>
    </font>
    <font>
      <b/>
      <sz val="16"/>
      <color theme="0"/>
      <name val="Kalinga"/>
      <family val="2"/>
    </font>
    <font>
      <sz val="12"/>
      <color theme="0"/>
      <name val="Kalinga"/>
      <family val="2"/>
    </font>
    <font>
      <b/>
      <sz val="26"/>
      <color theme="0"/>
      <name val="Kalinga"/>
      <family val="2"/>
    </font>
    <font>
      <u/>
      <sz val="11"/>
      <color theme="10"/>
      <name val="Calibri"/>
      <family val="2"/>
      <scheme val="minor"/>
    </font>
    <font>
      <u/>
      <sz val="11"/>
      <color theme="0"/>
      <name val="Kalinga"/>
      <family val="2"/>
    </font>
    <font>
      <sz val="26"/>
      <color theme="0"/>
      <name val="Kalinga"/>
      <family val="2"/>
    </font>
    <font>
      <sz val="12"/>
      <color theme="1"/>
      <name val="Kalinga"/>
      <family val="2"/>
    </font>
    <font>
      <b/>
      <sz val="11"/>
      <color theme="1"/>
      <name val="Segoe UI"/>
      <family val="2"/>
    </font>
    <font>
      <b/>
      <sz val="11"/>
      <color theme="0"/>
      <name val="Segoe UI"/>
      <family val="2"/>
    </font>
    <font>
      <sz val="11"/>
      <color theme="1"/>
      <name val="Segoe UI"/>
      <family val="2"/>
    </font>
    <font>
      <sz val="10"/>
      <color theme="1"/>
      <name val="Kalinga"/>
      <family val="2"/>
    </font>
    <font>
      <sz val="9"/>
      <color theme="1"/>
      <name val="Kalinga"/>
      <family val="2"/>
    </font>
  </fonts>
  <fills count="4">
    <fill>
      <patternFill patternType="none"/>
    </fill>
    <fill>
      <patternFill patternType="gray125"/>
    </fill>
    <fill>
      <patternFill patternType="solid">
        <fgColor theme="0"/>
        <bgColor indexed="64"/>
      </patternFill>
    </fill>
    <fill>
      <patternFill patternType="solid">
        <fgColor rgb="FF16477C"/>
        <bgColor indexed="64"/>
      </patternFill>
    </fill>
  </fills>
  <borders count="2">
    <border>
      <left/>
      <right/>
      <top/>
      <bottom/>
      <diagonal/>
    </border>
    <border>
      <left/>
      <right/>
      <top style="thin">
        <color theme="4" tint="0.39997558519241921"/>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28">
    <xf numFmtId="0" fontId="0" fillId="0" borderId="0" xfId="0"/>
    <xf numFmtId="0" fontId="3" fillId="2" borderId="0" xfId="0" applyFont="1" applyFill="1"/>
    <xf numFmtId="0" fontId="6" fillId="2" borderId="0" xfId="0" applyFont="1" applyFill="1"/>
    <xf numFmtId="0" fontId="4" fillId="2" borderId="0" xfId="0" applyFont="1" applyFill="1"/>
    <xf numFmtId="0" fontId="5" fillId="3" borderId="0" xfId="0" applyFont="1" applyFill="1"/>
    <xf numFmtId="0" fontId="3" fillId="3" borderId="0" xfId="0" applyFont="1" applyFill="1"/>
    <xf numFmtId="0" fontId="6" fillId="3" borderId="0" xfId="0" applyFont="1" applyFill="1"/>
    <xf numFmtId="0" fontId="4" fillId="3" borderId="0" xfId="0" applyFont="1" applyFill="1"/>
    <xf numFmtId="0" fontId="10" fillId="3" borderId="0" xfId="0" applyFont="1" applyFill="1"/>
    <xf numFmtId="0" fontId="2" fillId="3" borderId="0" xfId="0" applyFont="1" applyFill="1"/>
    <xf numFmtId="0" fontId="9" fillId="3" borderId="0" xfId="0" applyFont="1" applyFill="1"/>
    <xf numFmtId="0" fontId="9" fillId="3" borderId="0" xfId="3" applyFont="1" applyFill="1"/>
    <xf numFmtId="0" fontId="11" fillId="2" borderId="0" xfId="0" applyFont="1" applyFill="1"/>
    <xf numFmtId="0" fontId="13" fillId="3" borderId="1" xfId="0" applyFont="1" applyFill="1" applyBorder="1" applyAlignment="1" applyProtection="1">
      <alignment horizontal="left" wrapText="1"/>
      <protection locked="0"/>
    </xf>
    <xf numFmtId="0" fontId="14" fillId="0" borderId="0" xfId="0" applyFont="1" applyAlignment="1" applyProtection="1">
      <alignment horizontal="left"/>
      <protection locked="0"/>
    </xf>
    <xf numFmtId="9" fontId="14" fillId="0" borderId="0" xfId="2" applyFont="1" applyFill="1" applyAlignment="1" applyProtection="1">
      <alignment horizontal="right"/>
      <protection locked="0"/>
    </xf>
    <xf numFmtId="164" fontId="14" fillId="0" borderId="0" xfId="1" applyNumberFormat="1" applyFont="1" applyFill="1" applyAlignment="1" applyProtection="1">
      <alignment horizontal="right"/>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right" vertical="center" wrapText="1"/>
      <protection locked="0"/>
    </xf>
    <xf numFmtId="0" fontId="14" fillId="3" borderId="0" xfId="0" applyFont="1" applyFill="1" applyAlignment="1" applyProtection="1">
      <alignment horizontal="left" vertical="center" wrapText="1"/>
      <protection locked="0"/>
    </xf>
    <xf numFmtId="0" fontId="14" fillId="3" borderId="0" xfId="0" applyFont="1" applyFill="1" applyAlignment="1" applyProtection="1">
      <alignment horizontal="right" vertical="center" wrapText="1"/>
      <protection locked="0"/>
    </xf>
    <xf numFmtId="0" fontId="14" fillId="0" borderId="0" xfId="0" applyFont="1" applyProtection="1">
      <protection locked="0"/>
    </xf>
    <xf numFmtId="3" fontId="14" fillId="0" borderId="0" xfId="1" applyNumberFormat="1" applyFont="1" applyFill="1" applyAlignment="1" applyProtection="1">
      <alignment horizontal="right"/>
      <protection locked="0"/>
    </xf>
    <xf numFmtId="164" fontId="14" fillId="0" borderId="0" xfId="1" applyNumberFormat="1" applyFont="1" applyFill="1" applyProtection="1">
      <protection locked="0"/>
    </xf>
    <xf numFmtId="9" fontId="14" fillId="0" borderId="0" xfId="2" applyFont="1" applyFill="1" applyProtection="1">
      <protection locked="0"/>
    </xf>
    <xf numFmtId="0" fontId="7" fillId="3" borderId="0" xfId="0" applyFont="1" applyFill="1"/>
    <xf numFmtId="0" fontId="16" fillId="2" borderId="0" xfId="0" applyFont="1" applyFill="1" applyAlignment="1">
      <alignment horizontal="left" vertical="center" wrapText="1"/>
    </xf>
    <xf numFmtId="0" fontId="15" fillId="2" borderId="0" xfId="0" applyFont="1" applyFill="1" applyAlignment="1">
      <alignment horizontal="left" vertical="center" wrapText="1"/>
    </xf>
  </cellXfs>
  <cellStyles count="4">
    <cellStyle name="Comma" xfId="1" builtinId="3"/>
    <cellStyle name="Hyperlink" xfId="3" builtinId="8"/>
    <cellStyle name="Normal" xfId="0" builtinId="0"/>
    <cellStyle name="Percent" xfId="2" builtinId="5"/>
  </cellStyles>
  <dxfs count="18">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bgColor auto="1"/>
        </patternFill>
      </fill>
      <alignment horizontal="righ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strike val="0"/>
        <outline val="0"/>
        <shadow val="0"/>
        <u val="none"/>
        <vertAlign val="baseline"/>
        <sz val="11"/>
        <color theme="1"/>
        <name val="Segoe UI"/>
        <family val="2"/>
        <scheme val="none"/>
      </font>
      <fill>
        <patternFill patternType="none">
          <bgColor auto="1"/>
        </patternFill>
      </fill>
      <alignment horizontal="lef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bgColor auto="1"/>
        </patternFill>
      </fill>
      <alignment horizontal="center" vertical="bottom" textRotation="0" wrapText="0" indent="0" justifyLastLine="0" shrinkToFit="0" readingOrder="0"/>
      <protection locked="0" hidden="0"/>
    </dxf>
    <dxf>
      <font>
        <b/>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numFmt numFmtId="3" formatCode="#,##0"/>
      <fill>
        <patternFill patternType="none">
          <fgColor indexed="64"/>
          <bgColor indexed="65"/>
        </patternFill>
      </fill>
      <alignment horizontal="right" vertical="bottom" textRotation="0" wrapText="0" indent="0" justifyLastLine="0" shrinkToFit="0" readingOrder="0"/>
      <protection locked="0" hidden="0"/>
    </dxf>
    <dxf>
      <font>
        <b val="0"/>
        <i val="0"/>
        <strike val="0"/>
        <condense val="0"/>
        <extend val="0"/>
        <outline val="0"/>
        <shadow val="0"/>
        <u val="none"/>
        <vertAlign val="baseline"/>
        <sz val="11"/>
        <color theme="1"/>
        <name val="Segoe UI"/>
        <family val="2"/>
        <scheme val="none"/>
      </font>
      <numFmt numFmtId="164" formatCode="_-* #,##0_-;\-* #,##0_-;_-* &quot;-&quot;??_-;_-@_-"/>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none">
          <fgColor indexed="64"/>
          <bgColor auto="1"/>
        </patternFill>
      </fill>
      <protection locked="0" hidden="0"/>
    </dxf>
    <dxf>
      <font>
        <b val="0"/>
        <i val="0"/>
        <strike val="0"/>
        <condense val="0"/>
        <extend val="0"/>
        <outline val="0"/>
        <shadow val="0"/>
        <u val="none"/>
        <vertAlign val="baseline"/>
        <sz val="11"/>
        <color theme="1"/>
        <name val="Segoe UI"/>
        <family val="2"/>
        <scheme val="none"/>
      </font>
      <fill>
        <patternFill patternType="solid">
          <fgColor indexed="64"/>
          <bgColor rgb="FF16477C"/>
        </patternFill>
      </fill>
      <alignment horizontal="right" vertical="center" textRotation="0" wrapText="1" indent="0" justifyLastLine="0" shrinkToFit="0" readingOrder="0"/>
      <protection locked="0" hidden="0"/>
    </dxf>
  </dxfs>
  <tableStyles count="0" defaultTableStyle="TableStyleMedium2" defaultPivotStyle="PivotStyleLight16"/>
  <colors>
    <mruColors>
      <color rgb="FF16477C"/>
      <color rgb="FF355F89"/>
      <color rgb="FF005091"/>
      <color rgb="FF5091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calcChain" Target="calcChai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107157</xdr:colOff>
      <xdr:row>0</xdr:row>
      <xdr:rowOff>357187</xdr:rowOff>
    </xdr:from>
    <xdr:to>
      <xdr:col>5</xdr:col>
      <xdr:colOff>1425292</xdr:colOff>
      <xdr:row>2</xdr:row>
      <xdr:rowOff>202404</xdr:rowOff>
    </xdr:to>
    <xdr:pic>
      <xdr:nvPicPr>
        <xdr:cNvPr id="2" name="Picture 1">
          <a:extLst>
            <a:ext uri="{FF2B5EF4-FFF2-40B4-BE49-F238E27FC236}">
              <a16:creationId xmlns:a16="http://schemas.microsoft.com/office/drawing/2014/main" id="{7DBF2BEC-7C0E-42D9-BDCB-2426AFA1BF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8207" y="357187"/>
          <a:ext cx="3808923" cy="791367"/>
        </a:xfrm>
        <a:prstGeom prst="rect">
          <a:avLst/>
        </a:prstGeom>
      </xdr:spPr>
    </xdr:pic>
    <xdr:clientData/>
  </xdr:twoCellAnchor>
  <xdr:absoluteAnchor>
    <xdr:pos x="0" y="1932111"/>
    <xdr:ext cx="3960000" cy="2559600"/>
    <mc:AlternateContent xmlns:mc="http://schemas.openxmlformats.org/markup-compatibility/2006" xmlns:sle15="http://schemas.microsoft.com/office/drawing/2012/slicer">
      <mc:Choice Requires="sle15">
        <xdr:graphicFrame macro="">
          <xdr:nvGraphicFramePr>
            <xdr:cNvPr id="3" name="Quota Category 3">
              <a:extLst>
                <a:ext uri="{FF2B5EF4-FFF2-40B4-BE49-F238E27FC236}">
                  <a16:creationId xmlns:a16="http://schemas.microsoft.com/office/drawing/2014/main" id="{46C10FDA-6736-4E76-B8CC-E8C78513998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3"/>
            </a:graphicData>
          </a:graphic>
        </xdr:graphicFrame>
      </mc:Choice>
      <mc:Fallback xmlns="">
        <xdr:sp macro="" textlink="">
          <xdr:nvSpPr>
            <xdr:cNvPr id="0" name=""/>
            <xdr:cNvSpPr>
              <a:spLocks noTextEdit="1"/>
            </xdr:cNvSpPr>
          </xdr:nvSpPr>
          <xdr:spPr>
            <a:xfrm>
              <a:off x="0" y="1932111"/>
              <a:ext cx="3960000"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absoluteAnchor>
    <xdr:pos x="3996000" y="1932111"/>
    <xdr:ext cx="4304563" cy="2559600"/>
    <mc:AlternateContent xmlns:mc="http://schemas.openxmlformats.org/markup-compatibility/2006" xmlns:sle15="http://schemas.microsoft.com/office/drawing/2012/slicer">
      <mc:Choice Requires="sle15">
        <xdr:graphicFrame macro="">
          <xdr:nvGraphicFramePr>
            <xdr:cNvPr id="4" name="Country 3">
              <a:extLst>
                <a:ext uri="{FF2B5EF4-FFF2-40B4-BE49-F238E27FC236}">
                  <a16:creationId xmlns:a16="http://schemas.microsoft.com/office/drawing/2014/main" id="{81308A77-47A4-4F6A-B3B5-F9B94F63AFC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3"/>
            </a:graphicData>
          </a:graphic>
        </xdr:graphicFrame>
      </mc:Choice>
      <mc:Fallback xmlns="">
        <xdr:sp macro="" textlink="">
          <xdr:nvSpPr>
            <xdr:cNvPr id="0" name=""/>
            <xdr:cNvSpPr>
              <a:spLocks noTextEdit="1"/>
            </xdr:cNvSpPr>
          </xdr:nvSpPr>
          <xdr:spPr>
            <a:xfrm>
              <a:off x="3996000" y="1932111"/>
              <a:ext cx="4304563" cy="25596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5</xdr:row>
      <xdr:rowOff>122362</xdr:rowOff>
    </xdr:from>
    <xdr:to>
      <xdr:col>1</xdr:col>
      <xdr:colOff>51312</xdr:colOff>
      <xdr:row>13</xdr:row>
      <xdr:rowOff>201862</xdr:rowOff>
    </xdr:to>
    <mc:AlternateContent xmlns:mc="http://schemas.openxmlformats.org/markup-compatibility/2006" xmlns:sle15="http://schemas.microsoft.com/office/drawing/2012/slicer">
      <mc:Choice Requires="sle15">
        <xdr:graphicFrame macro="">
          <xdr:nvGraphicFramePr>
            <xdr:cNvPr id="4" name="Quota Category 2">
              <a:extLst>
                <a:ext uri="{FF2B5EF4-FFF2-40B4-BE49-F238E27FC236}">
                  <a16:creationId xmlns:a16="http://schemas.microsoft.com/office/drawing/2014/main" id="{E74CE4A4-D94E-4E0C-A92A-B36E15D4F6F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Quota Category 2"/>
            </a:graphicData>
          </a:graphic>
        </xdr:graphicFrame>
      </mc:Choice>
      <mc:Fallback xmlns="">
        <xdr:sp macro="" textlink="">
          <xdr:nvSpPr>
            <xdr:cNvPr id="0" name=""/>
            <xdr:cNvSpPr>
              <a:spLocks noTextEdit="1"/>
            </xdr:cNvSpPr>
          </xdr:nvSpPr>
          <xdr:spPr>
            <a:xfrm>
              <a:off x="0" y="1876550"/>
              <a:ext cx="4536000" cy="24925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absolute">
    <xdr:from>
      <xdr:col>1</xdr:col>
      <xdr:colOff>123312</xdr:colOff>
      <xdr:row>7</xdr:row>
      <xdr:rowOff>198562</xdr:rowOff>
    </xdr:from>
    <xdr:to>
      <xdr:col>3</xdr:col>
      <xdr:colOff>1129437</xdr:colOff>
      <xdr:row>13</xdr:row>
      <xdr:rowOff>188812</xdr:rowOff>
    </xdr:to>
    <mc:AlternateContent xmlns:mc="http://schemas.openxmlformats.org/markup-compatibility/2006" xmlns:sle15="http://schemas.microsoft.com/office/drawing/2012/slicer">
      <mc:Choice Requires="sle15">
        <xdr:graphicFrame macro="">
          <xdr:nvGraphicFramePr>
            <xdr:cNvPr id="5" name="Country 1">
              <a:extLst>
                <a:ext uri="{FF2B5EF4-FFF2-40B4-BE49-F238E27FC236}">
                  <a16:creationId xmlns:a16="http://schemas.microsoft.com/office/drawing/2014/main" id="{6F8655DB-F5A3-40C3-948A-6C74E1D6EC2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608000" y="2556000"/>
              <a:ext cx="3816000" cy="1800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twoCellAnchor>
  <xdr:twoCellAnchor editAs="oneCell">
    <xdr:from>
      <xdr:col>4</xdr:col>
      <xdr:colOff>94740</xdr:colOff>
      <xdr:row>0</xdr:row>
      <xdr:rowOff>381002</xdr:rowOff>
    </xdr:from>
    <xdr:to>
      <xdr:col>6</xdr:col>
      <xdr:colOff>1262063</xdr:colOff>
      <xdr:row>2</xdr:row>
      <xdr:rowOff>226219</xdr:rowOff>
    </xdr:to>
    <xdr:pic>
      <xdr:nvPicPr>
        <xdr:cNvPr id="6" name="Picture 5">
          <a:extLst>
            <a:ext uri="{FF2B5EF4-FFF2-40B4-BE49-F238E27FC236}">
              <a16:creationId xmlns:a16="http://schemas.microsoft.com/office/drawing/2014/main" id="{D7E4FB45-378A-43E2-80EB-D79041D9C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02896" y="381002"/>
          <a:ext cx="3691448" cy="845342"/>
        </a:xfrm>
        <a:prstGeom prst="rect">
          <a:avLst/>
        </a:prstGeom>
      </xdr:spPr>
    </xdr:pic>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2" xr10:uid="{4A28DCE5-0A61-46ED-A943-8221CD8ED8B0}" sourceName="Quota Category">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82FDAD4C-CB3B-4AFD-A636-35440F6FE28F}" sourceName="Country">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3" xr10:uid="{7710A4AF-9F2E-4C27-9E7A-A9CE8096E161}" sourceName="Country">
  <extLst>
    <x:ext xmlns:x15="http://schemas.microsoft.com/office/spreadsheetml/2010/11/main" uri="{2F2917AC-EB37-4324-AD4E-5DD8C200BD13}">
      <x15:tableSlicerCache tableId="3"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ota_Category3" xr10:uid="{3792DB78-F21F-45B7-B35E-B2F778EE080C}" sourceName="Quota Category">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3" xr10:uid="{7A788192-3522-4867-872D-44B108525FD4}" cache="Slicer_Country3" caption="Country" columnCount="2" lockedPosition="1" rowHeight="241300"/>
  <slicer name="Quota Category 3" xr10:uid="{7CFFB0E5-CAE1-4D1E-8EC2-5C78177419C7}" cache="Slicer_Quota_Category3" caption="Quota Category" startItem="2" lockedPosition="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ota Category 2" xr10:uid="{E4D11397-63BF-4D64-9576-908B0C10C881}" cache="Slicer_Quota_Category2" caption="Quota Category" lockedPosition="1" rowHeight="241300"/>
  <slicer name="Country 1" xr10:uid="{CFF1286F-3307-4763-B90F-1893FBE8F594}" cache="Slicer_Country1" caption="Country" columnCount="2" lockedPosition="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BB843BB-6D4C-413D-9459-234F25C2F640}" name="EU_Quotas4" displayName="EU_Quotas4" ref="A15:G194" totalsRowShown="0" headerRowDxfId="17" dataDxfId="16">
  <autoFilter ref="A15:G194" xr:uid="{E868E768-6237-458A-90D6-C15D3AA0A2D9}"/>
  <tableColumns count="7">
    <tableColumn id="1" xr3:uid="{B473FDE6-67DB-44AB-82D0-62A9576B1E19}" name="Quota Category" dataDxfId="15"/>
    <tableColumn id="2" xr3:uid="{99A5909C-6233-411A-8FED-2CA191C65C68}" name="Country" dataDxfId="14"/>
    <tableColumn id="3" xr3:uid="{F0817EF7-4EA4-4275-B6B4-57BB22A472C3}" name="Quota Limit (Tonnes)" dataDxfId="13" dataCellStyle="Comma"/>
    <tableColumn id="4" xr3:uid="{5186C5C8-9E62-43E1-961D-BD5EB4967960}" name="Quota Allocated (Tonnes)" dataDxfId="12" dataCellStyle="Comma"/>
    <tableColumn id="5" xr3:uid="{0B533B41-DCA5-4AC3-B502-6923DA837AB7}" name="% Quota Allocated" dataDxfId="11" dataCellStyle="Percent"/>
    <tableColumn id="6" xr3:uid="{E20C5404-E7FC-47B8-AE7E-A41F931B160E}" name="Balance Remaining (Tonnes)" dataDxfId="10" dataCellStyle="Comma"/>
    <tableColumn id="7" xr3:uid="{49D51D72-4CCA-420B-99E1-460488D3D686}" name="% Balance Remaining" dataDxfId="9" dataCellStyle="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D29541-2FD9-4998-81E2-66670B5EA6D8}" name="UK_Quotas" displayName="UK_Quotas" ref="A15:G70" totalsRowShown="0" headerRowDxfId="8" dataDxfId="7" dataCellStyle="Comma">
  <autoFilter ref="A15:G70" xr:uid="{CDD29541-2FD9-4998-81E2-66670B5EA6D8}"/>
  <tableColumns count="7">
    <tableColumn id="1" xr3:uid="{73AD5382-6028-4A06-B754-4F1F86386598}" name="Quota Category" dataDxfId="6"/>
    <tableColumn id="2" xr3:uid="{CDA14869-654B-4E15-866A-ED4EEED1DC11}" name="Country" dataDxfId="5"/>
    <tableColumn id="3" xr3:uid="{734D077B-4370-4B5D-B4FF-D51EB7112FE8}" name="Quota Limit (Tonnes)" dataDxfId="4" dataCellStyle="Comma"/>
    <tableColumn id="4" xr3:uid="{F328712A-9CF1-4A22-9014-212159298A8B}" name="Quota Allocated (Tonnes)" dataDxfId="3" dataCellStyle="Comma"/>
    <tableColumn id="5" xr3:uid="{5A17A7A4-0590-42CD-946D-47E1CEC81316}" name="% Quota Allocated" dataDxfId="2" dataCellStyle="Percent"/>
    <tableColumn id="6" xr3:uid="{9B3E0544-9776-4494-86BE-7025C19168A2}" name="Balance Remaining (Tonnes)" dataDxfId="1" dataCellStyle="Comma"/>
    <tableColumn id="7" xr3:uid="{1B4EC482-2DB2-4FF6-8066-FA94576D4B6E}" name="% Balance Remaining" dataDxfId="0" dataCellStyle="Perc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trade-tariff.service.gov.uk/quota_search" TargetMode="External"/><Relationship Id="rId1" Type="http://schemas.openxmlformats.org/officeDocument/2006/relationships/hyperlink" Target="https://ec.europa.eu/taxation_customs/dds2/taric/quota_consultation.jsp"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8C90-BB5B-452D-881C-BF94031F64CE}">
  <dimension ref="A1:H41"/>
  <sheetViews>
    <sheetView tabSelected="1" zoomScale="80" zoomScaleNormal="80" workbookViewId="0"/>
  </sheetViews>
  <sheetFormatPr defaultColWidth="8.7265625" defaultRowHeight="16.5" x14ac:dyDescent="0.55000000000000004"/>
  <cols>
    <col min="1" max="16384" width="8.7265625" style="9"/>
  </cols>
  <sheetData>
    <row r="1" spans="1:8" ht="39" x14ac:dyDescent="1.3">
      <c r="A1" s="8" t="s">
        <v>120</v>
      </c>
    </row>
    <row r="2" spans="1:8" x14ac:dyDescent="0.55000000000000004">
      <c r="A2" s="9" t="s">
        <v>108</v>
      </c>
    </row>
    <row r="3" spans="1:8" x14ac:dyDescent="0.55000000000000004">
      <c r="A3" s="9" t="s">
        <v>62</v>
      </c>
    </row>
    <row r="5" spans="1:8" x14ac:dyDescent="0.55000000000000004">
      <c r="H5" s="11"/>
    </row>
    <row r="6" spans="1:8" ht="39" x14ac:dyDescent="1.3">
      <c r="A6" s="8" t="s">
        <v>66</v>
      </c>
    </row>
    <row r="7" spans="1:8" s="7" customFormat="1" ht="24" x14ac:dyDescent="0.8">
      <c r="A7" s="7" t="str">
        <f>'European Union'!A2</f>
        <v>Current quota period: 01-Apr-2025 to 30-Jun-2025</v>
      </c>
    </row>
    <row r="8" spans="1:8" s="7" customFormat="1" ht="24" x14ac:dyDescent="0.8">
      <c r="A8" s="7" t="str">
        <f>'European Union'!A3</f>
        <v>Latest available data: 19-May-2025</v>
      </c>
    </row>
    <row r="9" spans="1:8" x14ac:dyDescent="0.55000000000000004">
      <c r="A9" s="10" t="s">
        <v>5</v>
      </c>
    </row>
    <row r="10" spans="1:8" x14ac:dyDescent="0.55000000000000004">
      <c r="A10" s="9" t="s">
        <v>63</v>
      </c>
    </row>
    <row r="11" spans="1:8" x14ac:dyDescent="0.55000000000000004">
      <c r="A11" s="9" t="s">
        <v>43</v>
      </c>
    </row>
    <row r="12" spans="1:8" x14ac:dyDescent="0.55000000000000004">
      <c r="A12" s="9" t="s">
        <v>70</v>
      </c>
    </row>
    <row r="13" spans="1:8" x14ac:dyDescent="0.55000000000000004">
      <c r="A13" s="9" t="s">
        <v>47</v>
      </c>
    </row>
    <row r="14" spans="1:8" x14ac:dyDescent="0.55000000000000004">
      <c r="A14" s="9" t="s">
        <v>45</v>
      </c>
    </row>
    <row r="15" spans="1:8" x14ac:dyDescent="0.55000000000000004">
      <c r="A15" s="9" t="s">
        <v>44</v>
      </c>
    </row>
    <row r="16" spans="1:8" x14ac:dyDescent="0.55000000000000004">
      <c r="A16" s="9" t="s">
        <v>46</v>
      </c>
    </row>
    <row r="17" spans="1:1" x14ac:dyDescent="0.55000000000000004">
      <c r="A17" s="9" t="s">
        <v>75</v>
      </c>
    </row>
    <row r="18" spans="1:1" x14ac:dyDescent="0.55000000000000004">
      <c r="A18" s="11" t="s">
        <v>42</v>
      </c>
    </row>
    <row r="21" spans="1:1" ht="39" x14ac:dyDescent="1.3">
      <c r="A21" s="8" t="s">
        <v>67</v>
      </c>
    </row>
    <row r="22" spans="1:1" s="7" customFormat="1" ht="24" x14ac:dyDescent="0.8">
      <c r="A22" s="7" t="str">
        <f>'United Kingdom'!A2</f>
        <v>Current quota period: 01-Apr-2025 to 30-Jun-2025</v>
      </c>
    </row>
    <row r="23" spans="1:1" s="7" customFormat="1" ht="24" x14ac:dyDescent="0.8">
      <c r="A23" s="7" t="str">
        <f>'United Kingdom'!A3</f>
        <v>Latest available data: 19-May-2025</v>
      </c>
    </row>
    <row r="24" spans="1:1" x14ac:dyDescent="0.55000000000000004">
      <c r="A24" s="10" t="s">
        <v>5</v>
      </c>
    </row>
    <row r="25" spans="1:1" x14ac:dyDescent="0.55000000000000004">
      <c r="A25" s="9" t="s">
        <v>71</v>
      </c>
    </row>
    <row r="26" spans="1:1" x14ac:dyDescent="0.55000000000000004">
      <c r="A26" s="9" t="s">
        <v>59</v>
      </c>
    </row>
    <row r="27" spans="1:1" x14ac:dyDescent="0.55000000000000004">
      <c r="A27" s="9" t="s">
        <v>70</v>
      </c>
    </row>
    <row r="28" spans="1:1" x14ac:dyDescent="0.55000000000000004">
      <c r="A28" s="9" t="s">
        <v>47</v>
      </c>
    </row>
    <row r="29" spans="1:1" x14ac:dyDescent="0.55000000000000004">
      <c r="A29" s="9" t="s">
        <v>45</v>
      </c>
    </row>
    <row r="30" spans="1:1" x14ac:dyDescent="0.55000000000000004">
      <c r="A30" s="9" t="s">
        <v>60</v>
      </c>
    </row>
    <row r="31" spans="1:1" x14ac:dyDescent="0.55000000000000004">
      <c r="A31" s="9" t="s">
        <v>61</v>
      </c>
    </row>
    <row r="32" spans="1:1" x14ac:dyDescent="0.55000000000000004">
      <c r="A32" s="9" t="s">
        <v>64</v>
      </c>
    </row>
    <row r="33" spans="1:1" x14ac:dyDescent="0.55000000000000004">
      <c r="A33" s="11" t="s">
        <v>49</v>
      </c>
    </row>
    <row r="36" spans="1:1" ht="39" x14ac:dyDescent="1.3">
      <c r="A36" s="8" t="s">
        <v>4</v>
      </c>
    </row>
    <row r="37" spans="1:1" x14ac:dyDescent="0.55000000000000004">
      <c r="A37" s="9" t="s">
        <v>65</v>
      </c>
    </row>
    <row r="38" spans="1:1" x14ac:dyDescent="0.55000000000000004">
      <c r="A38" s="9" t="s">
        <v>72</v>
      </c>
    </row>
    <row r="39" spans="1:1" x14ac:dyDescent="0.55000000000000004">
      <c r="A39" s="9" t="s">
        <v>8</v>
      </c>
    </row>
    <row r="40" spans="1:1" x14ac:dyDescent="0.55000000000000004">
      <c r="A40" s="9" t="s">
        <v>7</v>
      </c>
    </row>
    <row r="41" spans="1:1" x14ac:dyDescent="0.55000000000000004">
      <c r="A41" s="9" t="s">
        <v>6</v>
      </c>
    </row>
  </sheetData>
  <sheetProtection sheet="1" selectLockedCells="1" selectUnlockedCells="1"/>
  <hyperlinks>
    <hyperlink ref="A18" r:id="rId1" xr:uid="{CE4B733A-8267-455D-8D30-EF18C837069E}"/>
    <hyperlink ref="A33" r:id="rId2" xr:uid="{BBA991DB-9ED0-4A9E-97D7-1AFF7F67F62F}"/>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5755B-B1DA-4C41-B8AC-7AFC3C5D71DF}">
  <dimension ref="A1:G194"/>
  <sheetViews>
    <sheetView zoomScale="80" zoomScaleNormal="80" workbookViewId="0">
      <selection activeCell="A15" sqref="A15"/>
    </sheetView>
  </sheetViews>
  <sheetFormatPr defaultColWidth="9.1796875" defaultRowHeight="16.5" x14ac:dyDescent="0.55000000000000004"/>
  <cols>
    <col min="1" max="1" width="64.1796875" style="1" customWidth="1"/>
    <col min="2" max="2" width="39.26953125" style="1" bestFit="1" customWidth="1"/>
    <col min="3" max="3" width="36.1796875" style="1" customWidth="1"/>
    <col min="4" max="7" width="35.7265625" style="1" customWidth="1"/>
    <col min="8" max="16384" width="9.1796875" style="1"/>
  </cols>
  <sheetData>
    <row r="1" spans="1:7" ht="54.75" customHeight="1" x14ac:dyDescent="1.35">
      <c r="A1" s="25" t="s">
        <v>10</v>
      </c>
      <c r="B1" s="4"/>
      <c r="C1" s="5"/>
      <c r="D1" s="5"/>
      <c r="E1" s="5"/>
      <c r="F1" s="6"/>
      <c r="G1" s="5"/>
    </row>
    <row r="2" spans="1:7" ht="20.149999999999999" customHeight="1" x14ac:dyDescent="0.8">
      <c r="A2" s="7" t="s">
        <v>109</v>
      </c>
      <c r="B2" s="7"/>
      <c r="C2" s="5"/>
      <c r="D2" s="5"/>
      <c r="E2" s="5"/>
      <c r="F2" s="5"/>
      <c r="G2" s="5"/>
    </row>
    <row r="3" spans="1:7" ht="20.149999999999999" customHeight="1" x14ac:dyDescent="0.8">
      <c r="A3" s="7" t="s">
        <v>121</v>
      </c>
      <c r="B3" s="7"/>
      <c r="C3" s="5"/>
      <c r="D3" s="5"/>
      <c r="E3" s="5"/>
      <c r="F3" s="5"/>
      <c r="G3" s="5"/>
    </row>
    <row r="4" spans="1:7" ht="20.149999999999999" customHeight="1" x14ac:dyDescent="0.8">
      <c r="A4" s="6"/>
      <c r="B4" s="7"/>
      <c r="C4" s="5"/>
      <c r="D4" s="5"/>
      <c r="E4" s="5"/>
      <c r="F4" s="5"/>
      <c r="G4" s="5"/>
    </row>
    <row r="5" spans="1:7" ht="24.75" customHeight="1" x14ac:dyDescent="0.55000000000000004">
      <c r="D5" s="26" t="s">
        <v>123</v>
      </c>
      <c r="E5" s="26"/>
      <c r="F5" s="26"/>
      <c r="G5" s="26"/>
    </row>
    <row r="6" spans="1:7" ht="24.75" customHeight="1" x14ac:dyDescent="0.55000000000000004">
      <c r="D6" s="26"/>
      <c r="E6" s="26"/>
      <c r="F6" s="26"/>
      <c r="G6" s="26"/>
    </row>
    <row r="7" spans="1:7" ht="24.75" customHeight="1" x14ac:dyDescent="0.55000000000000004">
      <c r="D7" s="26"/>
      <c r="E7" s="26"/>
      <c r="F7" s="26"/>
      <c r="G7" s="26"/>
    </row>
    <row r="8" spans="1:7" ht="24.75" customHeight="1" x14ac:dyDescent="0.55000000000000004">
      <c r="D8" s="26"/>
      <c r="E8" s="26"/>
      <c r="F8" s="26"/>
      <c r="G8" s="26"/>
    </row>
    <row r="9" spans="1:7" ht="24.75" customHeight="1" x14ac:dyDescent="0.55000000000000004">
      <c r="D9" s="26"/>
      <c r="E9" s="26"/>
      <c r="F9" s="26"/>
      <c r="G9" s="26"/>
    </row>
    <row r="10" spans="1:7" ht="24.75" customHeight="1" x14ac:dyDescent="0.55000000000000004">
      <c r="D10" s="26"/>
      <c r="E10" s="26"/>
      <c r="F10" s="26"/>
      <c r="G10" s="26"/>
    </row>
    <row r="11" spans="1:7" ht="24.75" customHeight="1" x14ac:dyDescent="0.55000000000000004">
      <c r="D11" s="26"/>
      <c r="E11" s="26"/>
      <c r="F11" s="26"/>
      <c r="G11" s="26"/>
    </row>
    <row r="12" spans="1:7" ht="24.75" customHeight="1" x14ac:dyDescent="0.55000000000000004">
      <c r="D12" s="26"/>
      <c r="E12" s="26"/>
      <c r="F12" s="26"/>
      <c r="G12" s="26"/>
    </row>
    <row r="13" spans="1:7" ht="24.75" customHeight="1" x14ac:dyDescent="0.55000000000000004">
      <c r="D13" s="26"/>
      <c r="E13" s="26"/>
      <c r="F13" s="26"/>
      <c r="G13" s="26"/>
    </row>
    <row r="14" spans="1:7" ht="24.75" customHeight="1" x14ac:dyDescent="0.55000000000000004">
      <c r="D14" s="26"/>
      <c r="E14" s="26"/>
      <c r="F14" s="26"/>
      <c r="G14" s="26"/>
    </row>
    <row r="15" spans="1:7" ht="50.25" customHeight="1" x14ac:dyDescent="0.55000000000000004">
      <c r="A15" s="19" t="s">
        <v>0</v>
      </c>
      <c r="B15" s="19" t="s">
        <v>9</v>
      </c>
      <c r="C15" s="20" t="s">
        <v>50</v>
      </c>
      <c r="D15" s="20" t="s">
        <v>68</v>
      </c>
      <c r="E15" s="20" t="s">
        <v>3</v>
      </c>
      <c r="F15" s="20" t="s">
        <v>1</v>
      </c>
      <c r="G15" s="20" t="s">
        <v>2</v>
      </c>
    </row>
    <row r="16" spans="1:7" ht="17.5" x14ac:dyDescent="0.55000000000000004">
      <c r="A16" s="21" t="s">
        <v>110</v>
      </c>
      <c r="B16" s="21" t="s">
        <v>76</v>
      </c>
      <c r="C16" s="16">
        <v>627026.85800999997</v>
      </c>
      <c r="D16" s="22">
        <v>368811.33785999997</v>
      </c>
      <c r="E16" s="15">
        <v>0.58819065427356554</v>
      </c>
      <c r="F16" s="22">
        <v>258215.52015</v>
      </c>
      <c r="G16" s="15">
        <v>0.41180934572643446</v>
      </c>
    </row>
    <row r="17" spans="1:7" ht="17.5" x14ac:dyDescent="0.55000000000000004">
      <c r="A17" s="21" t="s">
        <v>110</v>
      </c>
      <c r="B17" s="21" t="s">
        <v>12</v>
      </c>
      <c r="C17" s="16">
        <v>773831.04839799996</v>
      </c>
      <c r="D17" s="22">
        <v>98.134008000022732</v>
      </c>
      <c r="E17" s="15">
        <v>1.2681580585738317E-4</v>
      </c>
      <c r="F17" s="22">
        <v>773732.91438999993</v>
      </c>
      <c r="G17" s="15">
        <v>0.99987318419414262</v>
      </c>
    </row>
    <row r="18" spans="1:7" ht="17.5" x14ac:dyDescent="0.55000000000000004">
      <c r="A18" s="21" t="s">
        <v>110</v>
      </c>
      <c r="B18" s="21" t="s">
        <v>13</v>
      </c>
      <c r="C18" s="16">
        <v>161143.97</v>
      </c>
      <c r="D18" s="22">
        <v>161143.97</v>
      </c>
      <c r="E18" s="15">
        <v>1</v>
      </c>
      <c r="F18" s="22">
        <v>0</v>
      </c>
      <c r="G18" s="15">
        <v>0</v>
      </c>
    </row>
    <row r="19" spans="1:7" ht="17.5" x14ac:dyDescent="0.55000000000000004">
      <c r="A19" s="21" t="s">
        <v>110</v>
      </c>
      <c r="B19" s="21" t="s">
        <v>14</v>
      </c>
      <c r="C19" s="16">
        <v>548926.29411800008</v>
      </c>
      <c r="D19" s="22">
        <v>11002.975488000084</v>
      </c>
      <c r="E19" s="15">
        <v>2.0044540780614906E-2</v>
      </c>
      <c r="F19" s="22">
        <v>537923.31862999999</v>
      </c>
      <c r="G19" s="15">
        <v>0.97995545921938509</v>
      </c>
    </row>
    <row r="20" spans="1:7" ht="17.5" x14ac:dyDescent="0.55000000000000004">
      <c r="A20" s="21" t="s">
        <v>110</v>
      </c>
      <c r="B20" s="21" t="s">
        <v>90</v>
      </c>
      <c r="C20" s="16">
        <v>279426.31641999993</v>
      </c>
      <c r="D20" s="22">
        <v>61065.325999999943</v>
      </c>
      <c r="E20" s="15">
        <v>0.21853820635925325</v>
      </c>
      <c r="F20" s="22">
        <v>218360.99041999999</v>
      </c>
      <c r="G20" s="15">
        <v>0.78146179364074675</v>
      </c>
    </row>
    <row r="21" spans="1:7" ht="17.5" x14ac:dyDescent="0.55000000000000004">
      <c r="A21" s="21" t="s">
        <v>110</v>
      </c>
      <c r="B21" s="21" t="s">
        <v>15</v>
      </c>
      <c r="C21" s="16">
        <v>856769.76</v>
      </c>
      <c r="D21" s="22">
        <v>288214.86439800006</v>
      </c>
      <c r="E21" s="15">
        <v>0.33639710206158546</v>
      </c>
      <c r="F21" s="22">
        <v>568554.89560199995</v>
      </c>
      <c r="G21" s="15">
        <v>0.66360289793841454</v>
      </c>
    </row>
    <row r="22" spans="1:7" ht="17.5" x14ac:dyDescent="0.55000000000000004">
      <c r="A22" s="21" t="s">
        <v>110</v>
      </c>
      <c r="B22" s="21" t="s">
        <v>78</v>
      </c>
      <c r="C22" s="16">
        <v>111380.069</v>
      </c>
      <c r="D22" s="22">
        <v>0</v>
      </c>
      <c r="E22" s="15">
        <v>0</v>
      </c>
      <c r="F22" s="22">
        <v>111380.069</v>
      </c>
      <c r="G22" s="15">
        <v>1</v>
      </c>
    </row>
    <row r="23" spans="1:7" ht="17.5" x14ac:dyDescent="0.55000000000000004">
      <c r="A23" s="21" t="s">
        <v>110</v>
      </c>
      <c r="B23" s="21" t="s">
        <v>91</v>
      </c>
      <c r="C23" s="16">
        <v>111380.069</v>
      </c>
      <c r="D23" s="22">
        <v>12887.293659000003</v>
      </c>
      <c r="E23" s="15">
        <v>0.11570556361389939</v>
      </c>
      <c r="F23" s="22">
        <v>98492.775341</v>
      </c>
      <c r="G23" s="15">
        <v>0.88429443638610061</v>
      </c>
    </row>
    <row r="24" spans="1:7" ht="17.5" x14ac:dyDescent="0.55000000000000004">
      <c r="A24" s="21" t="s">
        <v>110</v>
      </c>
      <c r="B24" s="21" t="s">
        <v>79</v>
      </c>
      <c r="C24" s="16">
        <v>111380.069</v>
      </c>
      <c r="D24" s="22">
        <v>57392.862371000003</v>
      </c>
      <c r="E24" s="15">
        <v>0.51528844331206147</v>
      </c>
      <c r="F24" s="22">
        <v>53987.206629</v>
      </c>
      <c r="G24" s="15">
        <v>0.48471155668793847</v>
      </c>
    </row>
    <row r="25" spans="1:7" ht="17.5" x14ac:dyDescent="0.55000000000000004">
      <c r="A25" s="21" t="s">
        <v>110</v>
      </c>
      <c r="B25" s="21" t="s">
        <v>92</v>
      </c>
      <c r="C25" s="16">
        <v>111380.069</v>
      </c>
      <c r="D25" s="22">
        <v>111380.069</v>
      </c>
      <c r="E25" s="15">
        <v>1</v>
      </c>
      <c r="F25" s="22">
        <v>0</v>
      </c>
      <c r="G25" s="15">
        <v>0</v>
      </c>
    </row>
    <row r="26" spans="1:7" ht="17.5" x14ac:dyDescent="0.55000000000000004">
      <c r="A26" s="21" t="s">
        <v>110</v>
      </c>
      <c r="B26" s="21" t="s">
        <v>93</v>
      </c>
      <c r="C26" s="16">
        <v>111380.069</v>
      </c>
      <c r="D26" s="22">
        <v>50994.740000000005</v>
      </c>
      <c r="E26" s="15">
        <v>0.45784439224938889</v>
      </c>
      <c r="F26" s="22">
        <v>60385.328999999998</v>
      </c>
      <c r="G26" s="15">
        <v>0.54215560775061111</v>
      </c>
    </row>
    <row r="27" spans="1:7" ht="17.5" x14ac:dyDescent="0.55000000000000004">
      <c r="A27" s="21" t="s">
        <v>110</v>
      </c>
      <c r="B27" s="21" t="s">
        <v>94</v>
      </c>
      <c r="C27" s="16">
        <v>111380.069</v>
      </c>
      <c r="D27" s="22">
        <v>143.98604000001797</v>
      </c>
      <c r="E27" s="15">
        <v>1.2927451140295476E-3</v>
      </c>
      <c r="F27" s="22">
        <v>111236.08295999999</v>
      </c>
      <c r="G27" s="15">
        <v>0.99870725488597045</v>
      </c>
    </row>
    <row r="28" spans="1:7" ht="17.5" x14ac:dyDescent="0.55000000000000004">
      <c r="A28" s="21" t="s">
        <v>110</v>
      </c>
      <c r="B28" s="21" t="s">
        <v>95</v>
      </c>
      <c r="C28" s="16">
        <v>111380.069</v>
      </c>
      <c r="D28" s="22">
        <v>74.628326000020024</v>
      </c>
      <c r="E28" s="15">
        <v>6.7003303795776237E-4</v>
      </c>
      <c r="F28" s="22">
        <v>111305.44067399998</v>
      </c>
      <c r="G28" s="15">
        <v>0.99932996696204224</v>
      </c>
    </row>
    <row r="29" spans="1:7" ht="17.5" x14ac:dyDescent="0.55000000000000004">
      <c r="A29" s="21" t="s">
        <v>110</v>
      </c>
      <c r="B29" s="21" t="s">
        <v>96</v>
      </c>
      <c r="C29" s="16">
        <v>111380.069</v>
      </c>
      <c r="D29" s="22">
        <v>441.36000000000058</v>
      </c>
      <c r="E29" s="15">
        <v>3.9626479312021567E-3</v>
      </c>
      <c r="F29" s="22">
        <v>110938.709</v>
      </c>
      <c r="G29" s="15">
        <v>0.99603735206879784</v>
      </c>
    </row>
    <row r="30" spans="1:7" ht="17.5" x14ac:dyDescent="0.55000000000000004">
      <c r="A30" s="21" t="s">
        <v>110</v>
      </c>
      <c r="B30" s="21" t="s">
        <v>97</v>
      </c>
      <c r="C30" s="16">
        <v>111380.069</v>
      </c>
      <c r="D30" s="22">
        <v>0</v>
      </c>
      <c r="E30" s="15">
        <v>0</v>
      </c>
      <c r="F30" s="22">
        <v>111380.069</v>
      </c>
      <c r="G30" s="15">
        <v>1</v>
      </c>
    </row>
    <row r="31" spans="1:7" ht="17.5" x14ac:dyDescent="0.55000000000000004">
      <c r="A31" s="21" t="s">
        <v>111</v>
      </c>
      <c r="B31" s="21" t="s">
        <v>28</v>
      </c>
      <c r="C31" s="16">
        <v>674.43</v>
      </c>
      <c r="D31" s="22">
        <v>284.49199999999996</v>
      </c>
      <c r="E31" s="15">
        <v>0.42182583811514907</v>
      </c>
      <c r="F31" s="22">
        <v>389.93799999999999</v>
      </c>
      <c r="G31" s="15">
        <v>0.57817416188485093</v>
      </c>
    </row>
    <row r="32" spans="1:7" ht="17.5" x14ac:dyDescent="0.55000000000000004">
      <c r="A32" s="21" t="s">
        <v>111</v>
      </c>
      <c r="B32" s="21" t="s">
        <v>19</v>
      </c>
      <c r="C32" s="16">
        <v>553.70000000000005</v>
      </c>
      <c r="D32" s="22">
        <v>168.98300000000006</v>
      </c>
      <c r="E32" s="15">
        <v>0.30518873035940053</v>
      </c>
      <c r="F32" s="22">
        <v>384.71699999999998</v>
      </c>
      <c r="G32" s="15">
        <v>0.69481126964059947</v>
      </c>
    </row>
    <row r="33" spans="1:7" ht="17.5" x14ac:dyDescent="0.55000000000000004">
      <c r="A33" s="21" t="s">
        <v>111</v>
      </c>
      <c r="B33" s="21" t="s">
        <v>14</v>
      </c>
      <c r="C33" s="16">
        <v>253.92</v>
      </c>
      <c r="D33" s="22">
        <v>253.92</v>
      </c>
      <c r="E33" s="15">
        <v>1</v>
      </c>
      <c r="F33" s="22">
        <v>0</v>
      </c>
      <c r="G33" s="15">
        <v>0</v>
      </c>
    </row>
    <row r="34" spans="1:7" ht="17.5" x14ac:dyDescent="0.55000000000000004">
      <c r="A34" s="21" t="s">
        <v>111</v>
      </c>
      <c r="B34" s="21" t="s">
        <v>15</v>
      </c>
      <c r="C34" s="16">
        <v>253.87</v>
      </c>
      <c r="D34" s="22">
        <v>0</v>
      </c>
      <c r="E34" s="15">
        <v>0</v>
      </c>
      <c r="F34" s="22">
        <v>253.87</v>
      </c>
      <c r="G34" s="15">
        <v>1</v>
      </c>
    </row>
    <row r="35" spans="1:7" ht="17.5" x14ac:dyDescent="0.55000000000000004">
      <c r="A35" s="21" t="s">
        <v>98</v>
      </c>
      <c r="B35" s="21" t="s">
        <v>12</v>
      </c>
      <c r="C35" s="16">
        <v>349207.442622</v>
      </c>
      <c r="D35" s="22">
        <v>45159.647371999978</v>
      </c>
      <c r="E35" s="15">
        <v>0.12932040346254325</v>
      </c>
      <c r="F35" s="22">
        <v>304047.79525000002</v>
      </c>
      <c r="G35" s="15">
        <v>0.87067959653745675</v>
      </c>
    </row>
    <row r="36" spans="1:7" ht="17.5" x14ac:dyDescent="0.55000000000000004">
      <c r="A36" s="21" t="s">
        <v>98</v>
      </c>
      <c r="B36" s="21" t="s">
        <v>13</v>
      </c>
      <c r="C36" s="16">
        <v>94591.31</v>
      </c>
      <c r="D36" s="22">
        <v>50056.149999999994</v>
      </c>
      <c r="E36" s="15">
        <v>0.52918338904493445</v>
      </c>
      <c r="F36" s="22">
        <v>44535.16</v>
      </c>
      <c r="G36" s="15">
        <v>0.47081661095506561</v>
      </c>
    </row>
    <row r="37" spans="1:7" ht="17.5" x14ac:dyDescent="0.55000000000000004">
      <c r="A37" s="21" t="s">
        <v>98</v>
      </c>
      <c r="B37" s="21" t="s">
        <v>14</v>
      </c>
      <c r="C37" s="16">
        <v>222494.87271200001</v>
      </c>
      <c r="D37" s="22">
        <v>6475.3796340000117</v>
      </c>
      <c r="E37" s="15">
        <v>2.9103500476533761E-2</v>
      </c>
      <c r="F37" s="22">
        <v>216019.493078</v>
      </c>
      <c r="G37" s="15">
        <v>0.97089649952346624</v>
      </c>
    </row>
    <row r="38" spans="1:7" ht="17.5" x14ac:dyDescent="0.55000000000000004">
      <c r="A38" s="21" t="s">
        <v>98</v>
      </c>
      <c r="B38" s="21" t="s">
        <v>90</v>
      </c>
      <c r="C38" s="16">
        <v>117493.68799999999</v>
      </c>
      <c r="D38" s="22">
        <v>6819.3439999999973</v>
      </c>
      <c r="E38" s="15">
        <v>5.8040088076901641E-2</v>
      </c>
      <c r="F38" s="22">
        <v>110674.344</v>
      </c>
      <c r="G38" s="15">
        <v>0.94195991192309836</v>
      </c>
    </row>
    <row r="39" spans="1:7" ht="17.5" x14ac:dyDescent="0.55000000000000004">
      <c r="A39" s="21" t="s">
        <v>98</v>
      </c>
      <c r="B39" s="21" t="s">
        <v>15</v>
      </c>
      <c r="C39" s="16">
        <v>334369.98</v>
      </c>
      <c r="D39" s="22">
        <v>99207.814530999982</v>
      </c>
      <c r="E39" s="15">
        <v>0.29670072214915943</v>
      </c>
      <c r="F39" s="22">
        <v>235162.165469</v>
      </c>
      <c r="G39" s="15">
        <v>0.70329927785084057</v>
      </c>
    </row>
    <row r="40" spans="1:7" ht="17.5" x14ac:dyDescent="0.55000000000000004">
      <c r="A40" s="21" t="s">
        <v>98</v>
      </c>
      <c r="B40" s="21" t="s">
        <v>112</v>
      </c>
      <c r="C40" s="16">
        <v>43468.097000000002</v>
      </c>
      <c r="D40" s="22">
        <v>43743.586488000001</v>
      </c>
      <c r="E40" s="15">
        <v>1.0063377397910933</v>
      </c>
      <c r="F40" s="22">
        <v>-275.48948799999999</v>
      </c>
      <c r="G40" s="15">
        <v>-6.3377397910932241E-3</v>
      </c>
    </row>
    <row r="41" spans="1:7" ht="17.5" x14ac:dyDescent="0.55000000000000004">
      <c r="A41" s="21" t="s">
        <v>98</v>
      </c>
      <c r="B41" s="21" t="s">
        <v>91</v>
      </c>
      <c r="C41" s="16">
        <v>43468.097000000002</v>
      </c>
      <c r="D41" s="22">
        <v>7891.7320000000036</v>
      </c>
      <c r="E41" s="15">
        <v>0.18155227729431089</v>
      </c>
      <c r="F41" s="22">
        <v>35576.364999999998</v>
      </c>
      <c r="G41" s="15">
        <v>0.81844772270568911</v>
      </c>
    </row>
    <row r="42" spans="1:7" ht="17.5" x14ac:dyDescent="0.55000000000000004">
      <c r="A42" s="21" t="s">
        <v>98</v>
      </c>
      <c r="B42" s="21" t="s">
        <v>92</v>
      </c>
      <c r="C42" s="16">
        <v>43468.097000000002</v>
      </c>
      <c r="D42" s="22">
        <v>13626.013000000003</v>
      </c>
      <c r="E42" s="15">
        <v>0.31347157893753674</v>
      </c>
      <c r="F42" s="22">
        <v>29842.083999999999</v>
      </c>
      <c r="G42" s="15">
        <v>0.68652842106246326</v>
      </c>
    </row>
    <row r="43" spans="1:7" ht="17.5" x14ac:dyDescent="0.55000000000000004">
      <c r="A43" s="21" t="s">
        <v>98</v>
      </c>
      <c r="B43" s="21" t="s">
        <v>79</v>
      </c>
      <c r="C43" s="16">
        <v>43468.097000000002</v>
      </c>
      <c r="D43" s="22">
        <v>43185.3753</v>
      </c>
      <c r="E43" s="15">
        <v>0.99349588043847425</v>
      </c>
      <c r="F43" s="22">
        <v>282.72169999999824</v>
      </c>
      <c r="G43" s="15">
        <v>6.5041195615257374E-3</v>
      </c>
    </row>
    <row r="44" spans="1:7" ht="17.5" x14ac:dyDescent="0.55000000000000004">
      <c r="A44" s="21" t="s">
        <v>113</v>
      </c>
      <c r="B44" s="21" t="s">
        <v>14</v>
      </c>
      <c r="C44" s="16">
        <v>2219.4650000000001</v>
      </c>
      <c r="D44" s="22">
        <v>0</v>
      </c>
      <c r="E44" s="15">
        <v>0</v>
      </c>
      <c r="F44" s="22">
        <v>2219.4650000000001</v>
      </c>
      <c r="G44" s="15">
        <v>1</v>
      </c>
    </row>
    <row r="45" spans="1:7" ht="17.5" x14ac:dyDescent="0.55000000000000004">
      <c r="A45" s="21" t="s">
        <v>113</v>
      </c>
      <c r="B45" s="21" t="s">
        <v>99</v>
      </c>
      <c r="C45" s="16">
        <v>665.61</v>
      </c>
      <c r="D45" s="22">
        <v>0</v>
      </c>
      <c r="E45" s="15">
        <v>0</v>
      </c>
      <c r="F45" s="22">
        <v>665.61</v>
      </c>
      <c r="G45" s="15">
        <v>1</v>
      </c>
    </row>
    <row r="46" spans="1:7" ht="17.5" x14ac:dyDescent="0.55000000000000004">
      <c r="A46" s="21" t="s">
        <v>113</v>
      </c>
      <c r="B46" s="21" t="s">
        <v>13</v>
      </c>
      <c r="C46" s="16">
        <v>1019.35</v>
      </c>
      <c r="D46" s="22">
        <v>0</v>
      </c>
      <c r="E46" s="15">
        <v>0</v>
      </c>
      <c r="F46" s="22">
        <v>1019.35</v>
      </c>
      <c r="G46" s="15">
        <v>1</v>
      </c>
    </row>
    <row r="47" spans="1:7" ht="17.5" x14ac:dyDescent="0.55000000000000004">
      <c r="A47" s="21" t="s">
        <v>113</v>
      </c>
      <c r="B47" s="21" t="s">
        <v>15</v>
      </c>
      <c r="C47" s="16">
        <v>1158.009</v>
      </c>
      <c r="D47" s="22">
        <v>511.94000000000005</v>
      </c>
      <c r="E47" s="15">
        <v>0.44208637411280916</v>
      </c>
      <c r="F47" s="22">
        <v>646.06899999999996</v>
      </c>
      <c r="G47" s="15">
        <v>0.55791362588719084</v>
      </c>
    </row>
    <row r="48" spans="1:7" ht="17.5" x14ac:dyDescent="0.55000000000000004">
      <c r="A48" s="21" t="s">
        <v>114</v>
      </c>
      <c r="B48" s="21" t="s">
        <v>13</v>
      </c>
      <c r="C48" s="16">
        <v>86240.266000000003</v>
      </c>
      <c r="D48" s="22">
        <v>10277.25</v>
      </c>
      <c r="E48" s="15">
        <v>0.11916997102026561</v>
      </c>
      <c r="F48" s="22">
        <v>75963.016000000003</v>
      </c>
      <c r="G48" s="15">
        <v>0.88083002897973439</v>
      </c>
    </row>
    <row r="49" spans="1:7" ht="17.5" x14ac:dyDescent="0.55000000000000004">
      <c r="A49" s="21" t="s">
        <v>114</v>
      </c>
      <c r="B49" s="21" t="s">
        <v>16</v>
      </c>
      <c r="C49" s="16">
        <v>39732.459490000001</v>
      </c>
      <c r="D49" s="22">
        <v>8729.4466460000003</v>
      </c>
      <c r="E49" s="15">
        <v>0.21970567032723098</v>
      </c>
      <c r="F49" s="22">
        <v>31003.012844000001</v>
      </c>
      <c r="G49" s="15">
        <v>0.78029432967276902</v>
      </c>
    </row>
    <row r="50" spans="1:7" ht="17.5" x14ac:dyDescent="0.55000000000000004">
      <c r="A50" s="21" t="s">
        <v>114</v>
      </c>
      <c r="B50" s="21" t="s">
        <v>17</v>
      </c>
      <c r="C50" s="16">
        <v>41916.154999999999</v>
      </c>
      <c r="D50" s="22">
        <v>4345.7050000000017</v>
      </c>
      <c r="E50" s="15">
        <v>0.10367613632500405</v>
      </c>
      <c r="F50" s="22">
        <v>37570.449999999997</v>
      </c>
      <c r="G50" s="15">
        <v>0.89632386367499595</v>
      </c>
    </row>
    <row r="51" spans="1:7" ht="17.5" x14ac:dyDescent="0.55000000000000004">
      <c r="A51" s="21" t="s">
        <v>114</v>
      </c>
      <c r="B51" s="21" t="s">
        <v>15</v>
      </c>
      <c r="C51" s="16">
        <v>17186.796730000002</v>
      </c>
      <c r="D51" s="22">
        <v>36.192500000001019</v>
      </c>
      <c r="E51" s="15">
        <v>2.1058316199682459E-3</v>
      </c>
      <c r="F51" s="22">
        <v>17150.604230000001</v>
      </c>
      <c r="G51" s="15">
        <v>0.99789416838003175</v>
      </c>
    </row>
    <row r="52" spans="1:7" ht="17.5" x14ac:dyDescent="0.55000000000000004">
      <c r="A52" s="21" t="s">
        <v>114</v>
      </c>
      <c r="B52" s="21" t="s">
        <v>79</v>
      </c>
      <c r="C52" s="16">
        <v>2588.31</v>
      </c>
      <c r="D52" s="22">
        <v>35.910499999999956</v>
      </c>
      <c r="E52" s="15">
        <v>1.3874110906344272E-2</v>
      </c>
      <c r="F52" s="22">
        <v>2552.3995</v>
      </c>
      <c r="G52" s="15">
        <v>0.98612588909365573</v>
      </c>
    </row>
    <row r="53" spans="1:7" ht="17.5" x14ac:dyDescent="0.55000000000000004">
      <c r="A53" s="21" t="s">
        <v>106</v>
      </c>
      <c r="B53" s="21" t="s">
        <v>13</v>
      </c>
      <c r="C53" s="16">
        <v>48916.207387999995</v>
      </c>
      <c r="D53" s="22">
        <v>18221.982069999991</v>
      </c>
      <c r="E53" s="15">
        <v>0.37251420424859349</v>
      </c>
      <c r="F53" s="22">
        <v>30694.225318000004</v>
      </c>
      <c r="G53" s="15">
        <v>0.62748579575140651</v>
      </c>
    </row>
    <row r="54" spans="1:7" ht="17.5" x14ac:dyDescent="0.55000000000000004">
      <c r="A54" s="21" t="s">
        <v>106</v>
      </c>
      <c r="B54" s="21" t="s">
        <v>12</v>
      </c>
      <c r="C54" s="16">
        <v>53636.33</v>
      </c>
      <c r="D54" s="22">
        <v>53636.33</v>
      </c>
      <c r="E54" s="15">
        <v>1</v>
      </c>
      <c r="F54" s="22">
        <v>0</v>
      </c>
      <c r="G54" s="15">
        <v>0</v>
      </c>
    </row>
    <row r="55" spans="1:7" ht="17.5" x14ac:dyDescent="0.55000000000000004">
      <c r="A55" s="21" t="s">
        <v>106</v>
      </c>
      <c r="B55" s="21" t="s">
        <v>14</v>
      </c>
      <c r="C55" s="16">
        <v>49849.312796000006</v>
      </c>
      <c r="D55" s="22">
        <v>30108.596988000008</v>
      </c>
      <c r="E55" s="15">
        <v>0.60399221773055167</v>
      </c>
      <c r="F55" s="22">
        <v>19740.715807999997</v>
      </c>
      <c r="G55" s="15">
        <v>0.39600778226944838</v>
      </c>
    </row>
    <row r="56" spans="1:7" ht="17.5" x14ac:dyDescent="0.55000000000000004">
      <c r="A56" s="21" t="s">
        <v>106</v>
      </c>
      <c r="B56" s="21" t="s">
        <v>15</v>
      </c>
      <c r="C56" s="16">
        <v>472049.81</v>
      </c>
      <c r="D56" s="22">
        <v>387775.90367999999</v>
      </c>
      <c r="E56" s="15">
        <v>0.82147242825921274</v>
      </c>
      <c r="F56" s="22">
        <v>84273.906319999995</v>
      </c>
      <c r="G56" s="15">
        <v>0.17852757174078726</v>
      </c>
    </row>
    <row r="57" spans="1:7" ht="17.5" x14ac:dyDescent="0.55000000000000004">
      <c r="A57" s="21" t="s">
        <v>106</v>
      </c>
      <c r="B57" s="21" t="s">
        <v>112</v>
      </c>
      <c r="C57" s="16">
        <v>118012.45299999999</v>
      </c>
      <c r="D57" s="22">
        <v>91251.029459999991</v>
      </c>
      <c r="E57" s="15">
        <v>0.77323220677397497</v>
      </c>
      <c r="F57" s="22">
        <v>26761.42354</v>
      </c>
      <c r="G57" s="15">
        <v>0.22676779322602506</v>
      </c>
    </row>
    <row r="58" spans="1:7" ht="17.5" x14ac:dyDescent="0.55000000000000004">
      <c r="A58" s="21" t="s">
        <v>106</v>
      </c>
      <c r="B58" s="21" t="s">
        <v>91</v>
      </c>
      <c r="C58" s="16">
        <v>118012.45299999999</v>
      </c>
      <c r="D58" s="22">
        <v>118012.45299999999</v>
      </c>
      <c r="E58" s="15">
        <v>1</v>
      </c>
      <c r="F58" s="22">
        <v>0</v>
      </c>
      <c r="G58" s="15">
        <v>0</v>
      </c>
    </row>
    <row r="59" spans="1:7" ht="17.5" x14ac:dyDescent="0.55000000000000004">
      <c r="A59" s="21" t="s">
        <v>106</v>
      </c>
      <c r="B59" s="21" t="s">
        <v>92</v>
      </c>
      <c r="C59" s="16">
        <v>118012.45299999999</v>
      </c>
      <c r="D59" s="22">
        <v>117985.1868</v>
      </c>
      <c r="E59" s="15">
        <v>0.99976895489156559</v>
      </c>
      <c r="F59" s="22">
        <v>27.266200000000001</v>
      </c>
      <c r="G59" s="15">
        <v>2.3104510843444635E-4</v>
      </c>
    </row>
    <row r="60" spans="1:7" ht="17.5" x14ac:dyDescent="0.55000000000000004">
      <c r="A60" s="21" t="s">
        <v>107</v>
      </c>
      <c r="B60" s="21" t="s">
        <v>16</v>
      </c>
      <c r="C60" s="16">
        <v>128220.12</v>
      </c>
      <c r="D60" s="22">
        <v>128220.12</v>
      </c>
      <c r="E60" s="15">
        <v>1</v>
      </c>
      <c r="F60" s="22">
        <v>0</v>
      </c>
      <c r="G60" s="15">
        <v>0</v>
      </c>
    </row>
    <row r="61" spans="1:7" ht="17.5" x14ac:dyDescent="0.55000000000000004">
      <c r="A61" s="21" t="s">
        <v>107</v>
      </c>
      <c r="B61" s="21" t="s">
        <v>13</v>
      </c>
      <c r="C61" s="16">
        <v>221263.39124299999</v>
      </c>
      <c r="D61" s="22">
        <v>74012.07133799998</v>
      </c>
      <c r="E61" s="15">
        <v>0.33449759095808607</v>
      </c>
      <c r="F61" s="22">
        <v>147251.31990500001</v>
      </c>
      <c r="G61" s="15">
        <v>0.66550240904191393</v>
      </c>
    </row>
    <row r="62" spans="1:7" ht="17.5" x14ac:dyDescent="0.55000000000000004">
      <c r="A62" s="21" t="s">
        <v>107</v>
      </c>
      <c r="B62" s="21" t="s">
        <v>12</v>
      </c>
      <c r="C62" s="16">
        <v>200653.83151999998</v>
      </c>
      <c r="D62" s="22">
        <v>26897.61109999998</v>
      </c>
      <c r="E62" s="15">
        <v>0.13404982549420685</v>
      </c>
      <c r="F62" s="22">
        <v>173756.22042</v>
      </c>
      <c r="G62" s="15">
        <v>0.86595017450579315</v>
      </c>
    </row>
    <row r="63" spans="1:7" ht="17.5" x14ac:dyDescent="0.55000000000000004">
      <c r="A63" s="21" t="s">
        <v>107</v>
      </c>
      <c r="B63" s="21" t="s">
        <v>14</v>
      </c>
      <c r="C63" s="16">
        <v>81290.602900999991</v>
      </c>
      <c r="D63" s="22">
        <v>9611.6465279999975</v>
      </c>
      <c r="E63" s="15">
        <v>0.11823810114565847</v>
      </c>
      <c r="F63" s="22">
        <v>71678.956372999994</v>
      </c>
      <c r="G63" s="15">
        <v>0.88176189885434153</v>
      </c>
    </row>
    <row r="64" spans="1:7" ht="17.5" x14ac:dyDescent="0.55000000000000004">
      <c r="A64" s="21" t="s">
        <v>107</v>
      </c>
      <c r="B64" s="21" t="s">
        <v>15</v>
      </c>
      <c r="C64" s="16">
        <v>104779.4</v>
      </c>
      <c r="D64" s="22">
        <v>102245.46182499999</v>
      </c>
      <c r="E64" s="15">
        <v>0.97581644698289927</v>
      </c>
      <c r="F64" s="22">
        <v>2533.9381749999998</v>
      </c>
      <c r="G64" s="15">
        <v>2.4183553017100689E-2</v>
      </c>
    </row>
    <row r="65" spans="1:7" ht="17.5" x14ac:dyDescent="0.55000000000000004">
      <c r="A65" s="21" t="s">
        <v>107</v>
      </c>
      <c r="B65" s="21" t="s">
        <v>112</v>
      </c>
      <c r="C65" s="16">
        <v>20955.88</v>
      </c>
      <c r="D65" s="22">
        <v>20956.594000000001</v>
      </c>
      <c r="E65" s="15">
        <v>1.0000340715827729</v>
      </c>
      <c r="F65" s="22">
        <v>-0.71399999999999997</v>
      </c>
      <c r="G65" s="15">
        <v>-3.4071582772949641E-5</v>
      </c>
    </row>
    <row r="66" spans="1:7" ht="17.5" x14ac:dyDescent="0.55000000000000004">
      <c r="A66" s="21" t="s">
        <v>107</v>
      </c>
      <c r="B66" s="21" t="s">
        <v>91</v>
      </c>
      <c r="C66" s="16">
        <v>20955.88</v>
      </c>
      <c r="D66" s="22">
        <v>20954.86275</v>
      </c>
      <c r="E66" s="15">
        <v>0.99995145753840931</v>
      </c>
      <c r="F66" s="22">
        <v>1.01725</v>
      </c>
      <c r="G66" s="15">
        <v>4.8542461590732526E-5</v>
      </c>
    </row>
    <row r="67" spans="1:7" ht="17.5" x14ac:dyDescent="0.55000000000000004">
      <c r="A67" s="21" t="s">
        <v>107</v>
      </c>
      <c r="B67" s="21" t="s">
        <v>92</v>
      </c>
      <c r="C67" s="16">
        <v>20955.88</v>
      </c>
      <c r="D67" s="22">
        <v>18392.994825000002</v>
      </c>
      <c r="E67" s="15">
        <v>0.877700904233084</v>
      </c>
      <c r="F67" s="22">
        <v>2562.8851749999999</v>
      </c>
      <c r="G67" s="15">
        <v>0.122299095766916</v>
      </c>
    </row>
    <row r="68" spans="1:7" ht="17.5" x14ac:dyDescent="0.55000000000000004">
      <c r="A68" s="21" t="s">
        <v>100</v>
      </c>
      <c r="B68" s="21" t="s">
        <v>12</v>
      </c>
      <c r="C68" s="16">
        <v>78591.62</v>
      </c>
      <c r="D68" s="22">
        <v>78591.62</v>
      </c>
      <c r="E68" s="15">
        <v>1</v>
      </c>
      <c r="F68" s="22">
        <v>0</v>
      </c>
      <c r="G68" s="15">
        <v>0</v>
      </c>
    </row>
    <row r="69" spans="1:7" ht="17.5" x14ac:dyDescent="0.55000000000000004">
      <c r="A69" s="21" t="s">
        <v>100</v>
      </c>
      <c r="B69" s="21" t="s">
        <v>13</v>
      </c>
      <c r="C69" s="16">
        <v>71028.39</v>
      </c>
      <c r="D69" s="22">
        <v>60258.967246</v>
      </c>
      <c r="E69" s="15">
        <v>0.84837861657852587</v>
      </c>
      <c r="F69" s="22">
        <v>10769.422753999999</v>
      </c>
      <c r="G69" s="15">
        <v>0.15162138342147413</v>
      </c>
    </row>
    <row r="70" spans="1:7" ht="17.5" x14ac:dyDescent="0.55000000000000004">
      <c r="A70" s="21" t="s">
        <v>100</v>
      </c>
      <c r="B70" s="21" t="s">
        <v>14</v>
      </c>
      <c r="C70" s="16">
        <v>34872.35</v>
      </c>
      <c r="D70" s="22">
        <v>6712.0547729999962</v>
      </c>
      <c r="E70" s="15">
        <v>0.19247497725275176</v>
      </c>
      <c r="F70" s="22">
        <v>28160.295227000002</v>
      </c>
      <c r="G70" s="15">
        <v>0.80752502274724824</v>
      </c>
    </row>
    <row r="71" spans="1:7" ht="17.5" x14ac:dyDescent="0.55000000000000004">
      <c r="A71" s="21" t="s">
        <v>100</v>
      </c>
      <c r="B71" s="21" t="s">
        <v>17</v>
      </c>
      <c r="C71" s="16">
        <v>22764.27</v>
      </c>
      <c r="D71" s="22">
        <v>22763.56</v>
      </c>
      <c r="E71" s="15">
        <v>0.99996881077231992</v>
      </c>
      <c r="F71" s="22">
        <v>0.71</v>
      </c>
      <c r="G71" s="15">
        <v>3.1189227680044207E-5</v>
      </c>
    </row>
    <row r="72" spans="1:7" ht="17.5" x14ac:dyDescent="0.55000000000000004">
      <c r="A72" s="21" t="s">
        <v>100</v>
      </c>
      <c r="B72" s="21" t="s">
        <v>76</v>
      </c>
      <c r="C72" s="16">
        <v>15716.47</v>
      </c>
      <c r="D72" s="22">
        <v>15716.47</v>
      </c>
      <c r="E72" s="15">
        <v>1</v>
      </c>
      <c r="F72" s="22">
        <v>0</v>
      </c>
      <c r="G72" s="15">
        <v>0</v>
      </c>
    </row>
    <row r="73" spans="1:7" ht="17.5" x14ac:dyDescent="0.55000000000000004">
      <c r="A73" s="21" t="s">
        <v>100</v>
      </c>
      <c r="B73" s="21" t="s">
        <v>15</v>
      </c>
      <c r="C73" s="16">
        <v>42860.67</v>
      </c>
      <c r="D73" s="22">
        <v>11594.826947999998</v>
      </c>
      <c r="E73" s="15">
        <v>0.27052369801965293</v>
      </c>
      <c r="F73" s="22">
        <v>31265.843052</v>
      </c>
      <c r="G73" s="15">
        <v>0.72947630198034707</v>
      </c>
    </row>
    <row r="74" spans="1:7" ht="17.5" x14ac:dyDescent="0.55000000000000004">
      <c r="A74" s="21" t="s">
        <v>100</v>
      </c>
      <c r="B74" s="21" t="s">
        <v>91</v>
      </c>
      <c r="C74" s="16">
        <v>10715.168</v>
      </c>
      <c r="D74" s="22">
        <v>10715.168</v>
      </c>
      <c r="E74" s="15">
        <v>1</v>
      </c>
      <c r="F74" s="22">
        <v>0</v>
      </c>
      <c r="G74" s="15">
        <v>0</v>
      </c>
    </row>
    <row r="75" spans="1:7" ht="17.5" x14ac:dyDescent="0.55000000000000004">
      <c r="A75" s="21" t="s">
        <v>18</v>
      </c>
      <c r="B75" s="21" t="s">
        <v>16</v>
      </c>
      <c r="C75" s="16">
        <v>110919.7</v>
      </c>
      <c r="D75" s="22">
        <v>15235.901979999995</v>
      </c>
      <c r="E75" s="15">
        <v>0.13735974745694401</v>
      </c>
      <c r="F75" s="22">
        <v>95683.798020000002</v>
      </c>
      <c r="G75" s="15">
        <v>0.86264025254305599</v>
      </c>
    </row>
    <row r="76" spans="1:7" ht="17.5" x14ac:dyDescent="0.55000000000000004">
      <c r="A76" s="21" t="s">
        <v>18</v>
      </c>
      <c r="B76" s="21" t="s">
        <v>14</v>
      </c>
      <c r="C76" s="16">
        <v>40458.370000000003</v>
      </c>
      <c r="D76" s="22">
        <v>8160.6776530000061</v>
      </c>
      <c r="E76" s="15">
        <v>0.20170554703513777</v>
      </c>
      <c r="F76" s="22">
        <v>32297.692346999997</v>
      </c>
      <c r="G76" s="15">
        <v>0.79829445296486223</v>
      </c>
    </row>
    <row r="77" spans="1:7" ht="17.5" x14ac:dyDescent="0.55000000000000004">
      <c r="A77" s="21" t="s">
        <v>18</v>
      </c>
      <c r="B77" s="21" t="s">
        <v>90</v>
      </c>
      <c r="C77" s="16">
        <v>22264.76</v>
      </c>
      <c r="D77" s="22">
        <v>11788.245999999999</v>
      </c>
      <c r="E77" s="15">
        <v>0.52945758229596906</v>
      </c>
      <c r="F77" s="22">
        <v>10476.513999999999</v>
      </c>
      <c r="G77" s="15">
        <v>0.47054241770403094</v>
      </c>
    </row>
    <row r="78" spans="1:7" ht="17.5" x14ac:dyDescent="0.55000000000000004">
      <c r="A78" s="21" t="s">
        <v>18</v>
      </c>
      <c r="B78" s="21" t="s">
        <v>13</v>
      </c>
      <c r="C78" s="16">
        <v>16105.32</v>
      </c>
      <c r="D78" s="22">
        <v>16105.32</v>
      </c>
      <c r="E78" s="15">
        <v>1</v>
      </c>
      <c r="F78" s="22">
        <v>0</v>
      </c>
      <c r="G78" s="15">
        <v>0</v>
      </c>
    </row>
    <row r="79" spans="1:7" ht="17.5" x14ac:dyDescent="0.55000000000000004">
      <c r="A79" s="21" t="s">
        <v>18</v>
      </c>
      <c r="B79" s="21" t="s">
        <v>17</v>
      </c>
      <c r="C79" s="16">
        <v>13390.4</v>
      </c>
      <c r="D79" s="22">
        <v>5833.5453600000001</v>
      </c>
      <c r="E79" s="15">
        <v>0.43565131437447724</v>
      </c>
      <c r="F79" s="22">
        <v>7556.8546399999996</v>
      </c>
      <c r="G79" s="15">
        <v>0.56434868562552276</v>
      </c>
    </row>
    <row r="80" spans="1:7" ht="17.5" x14ac:dyDescent="0.55000000000000004">
      <c r="A80" s="21" t="s">
        <v>18</v>
      </c>
      <c r="B80" s="21" t="s">
        <v>15</v>
      </c>
      <c r="C80" s="16">
        <v>37107.31</v>
      </c>
      <c r="D80" s="22">
        <v>29928.351304999997</v>
      </c>
      <c r="E80" s="15">
        <v>0.80653518956238002</v>
      </c>
      <c r="F80" s="22">
        <v>7178.9586950000003</v>
      </c>
      <c r="G80" s="15">
        <v>0.19346481043761998</v>
      </c>
    </row>
    <row r="81" spans="1:7" ht="17.5" x14ac:dyDescent="0.55000000000000004">
      <c r="A81" s="21" t="s">
        <v>18</v>
      </c>
      <c r="B81" s="21" t="s">
        <v>115</v>
      </c>
      <c r="C81" s="16">
        <v>9276.8279999999995</v>
      </c>
      <c r="D81" s="22">
        <v>13611.003138</v>
      </c>
      <c r="E81" s="15">
        <v>1.4672044300056011</v>
      </c>
      <c r="F81" s="22">
        <v>-4334.1751379999996</v>
      </c>
      <c r="G81" s="15">
        <v>-0.46720443000560102</v>
      </c>
    </row>
    <row r="82" spans="1:7" ht="17.5" x14ac:dyDescent="0.55000000000000004">
      <c r="A82" s="21" t="s">
        <v>18</v>
      </c>
      <c r="B82" s="21" t="s">
        <v>112</v>
      </c>
      <c r="C82" s="16">
        <v>9276.8279999999995</v>
      </c>
      <c r="D82" s="22">
        <v>9276.8279999999995</v>
      </c>
      <c r="E82" s="15">
        <v>1</v>
      </c>
      <c r="F82" s="22">
        <v>0</v>
      </c>
      <c r="G82" s="15">
        <v>0</v>
      </c>
    </row>
    <row r="83" spans="1:7" ht="17.5" x14ac:dyDescent="0.55000000000000004">
      <c r="A83" s="21" t="s">
        <v>101</v>
      </c>
      <c r="B83" s="21" t="s">
        <v>15</v>
      </c>
      <c r="C83" s="16">
        <v>550190.07999999996</v>
      </c>
      <c r="D83" s="22">
        <v>225823.53675299999</v>
      </c>
      <c r="E83" s="15">
        <v>0.41044639836654273</v>
      </c>
      <c r="F83" s="22">
        <v>324366.54324699997</v>
      </c>
      <c r="G83" s="15">
        <v>0.58955360163345727</v>
      </c>
    </row>
    <row r="84" spans="1:7" ht="17.5" x14ac:dyDescent="0.55000000000000004">
      <c r="A84" s="21" t="s">
        <v>101</v>
      </c>
      <c r="B84" s="21" t="s">
        <v>115</v>
      </c>
      <c r="C84" s="16">
        <v>110038.016</v>
      </c>
      <c r="D84" s="22">
        <v>53464.425000000003</v>
      </c>
      <c r="E84" s="15">
        <v>0.48587230980245955</v>
      </c>
      <c r="F84" s="22">
        <v>56573.591</v>
      </c>
      <c r="G84" s="15">
        <v>0.51412769019754045</v>
      </c>
    </row>
    <row r="85" spans="1:7" ht="17.5" x14ac:dyDescent="0.55000000000000004">
      <c r="A85" s="21" t="s">
        <v>101</v>
      </c>
      <c r="B85" s="21" t="s">
        <v>84</v>
      </c>
      <c r="C85" s="16">
        <v>110038.016</v>
      </c>
      <c r="D85" s="22">
        <v>46800.589</v>
      </c>
      <c r="E85" s="15">
        <v>0.42531291185766196</v>
      </c>
      <c r="F85" s="22">
        <v>63237.427000000003</v>
      </c>
      <c r="G85" s="15">
        <v>0.57468708814233804</v>
      </c>
    </row>
    <row r="86" spans="1:7" ht="17.5" x14ac:dyDescent="0.55000000000000004">
      <c r="A86" s="21" t="s">
        <v>101</v>
      </c>
      <c r="B86" s="21" t="s">
        <v>83</v>
      </c>
      <c r="C86" s="16">
        <v>110038.016</v>
      </c>
      <c r="D86" s="22">
        <v>90555.902800000011</v>
      </c>
      <c r="E86" s="15">
        <v>0.82295106811086094</v>
      </c>
      <c r="F86" s="22">
        <v>19482.1132</v>
      </c>
      <c r="G86" s="15">
        <v>0.17704893188913912</v>
      </c>
    </row>
    <row r="87" spans="1:7" ht="17.5" x14ac:dyDescent="0.55000000000000004">
      <c r="A87" s="21" t="s">
        <v>102</v>
      </c>
      <c r="B87" s="21" t="s">
        <v>15</v>
      </c>
      <c r="C87" s="16">
        <v>225569.46436399998</v>
      </c>
      <c r="D87" s="22">
        <v>25581.744446999975</v>
      </c>
      <c r="E87" s="15">
        <v>0.11340960763075125</v>
      </c>
      <c r="F87" s="22">
        <v>199987.71991700001</v>
      </c>
      <c r="G87" s="15">
        <v>0.88659039236924875</v>
      </c>
    </row>
    <row r="88" spans="1:7" ht="17.5" x14ac:dyDescent="0.55000000000000004">
      <c r="A88" s="21" t="s">
        <v>103</v>
      </c>
      <c r="B88" s="21" t="s">
        <v>13</v>
      </c>
      <c r="C88" s="16">
        <v>75671.744923999999</v>
      </c>
      <c r="D88" s="22">
        <v>18209.828520000003</v>
      </c>
      <c r="E88" s="15">
        <v>0.24064237633596031</v>
      </c>
      <c r="F88" s="22">
        <v>57461.916403999996</v>
      </c>
      <c r="G88" s="15">
        <v>0.75935762366403969</v>
      </c>
    </row>
    <row r="89" spans="1:7" ht="17.5" x14ac:dyDescent="0.55000000000000004">
      <c r="A89" s="21" t="s">
        <v>103</v>
      </c>
      <c r="B89" s="21" t="s">
        <v>17</v>
      </c>
      <c r="C89" s="16">
        <v>46029.41</v>
      </c>
      <c r="D89" s="22">
        <v>46029.41</v>
      </c>
      <c r="E89" s="15">
        <v>1</v>
      </c>
      <c r="F89" s="22">
        <v>0</v>
      </c>
      <c r="G89" s="15">
        <v>0</v>
      </c>
    </row>
    <row r="90" spans="1:7" ht="17.5" x14ac:dyDescent="0.55000000000000004">
      <c r="A90" s="21" t="s">
        <v>103</v>
      </c>
      <c r="B90" s="21" t="s">
        <v>12</v>
      </c>
      <c r="C90" s="16">
        <v>97610.603367999996</v>
      </c>
      <c r="D90" s="22">
        <v>5428.935999999987</v>
      </c>
      <c r="E90" s="15">
        <v>5.5618301830718697E-2</v>
      </c>
      <c r="F90" s="22">
        <v>92181.667368000009</v>
      </c>
      <c r="G90" s="15">
        <v>0.9443816981692813</v>
      </c>
    </row>
    <row r="91" spans="1:7" ht="17.5" x14ac:dyDescent="0.55000000000000004">
      <c r="A91" s="21" t="s">
        <v>103</v>
      </c>
      <c r="B91" s="21" t="s">
        <v>69</v>
      </c>
      <c r="C91" s="16">
        <v>59031.128920000003</v>
      </c>
      <c r="D91" s="22">
        <v>7337.7960000000021</v>
      </c>
      <c r="E91" s="15">
        <v>0.12430383992730865</v>
      </c>
      <c r="F91" s="22">
        <v>51693.332920000001</v>
      </c>
      <c r="G91" s="15">
        <v>0.87569616007269135</v>
      </c>
    </row>
    <row r="92" spans="1:7" ht="17.5" x14ac:dyDescent="0.55000000000000004">
      <c r="A92" s="21" t="s">
        <v>103</v>
      </c>
      <c r="B92" s="21" t="s">
        <v>19</v>
      </c>
      <c r="C92" s="16">
        <v>93981.038935999997</v>
      </c>
      <c r="D92" s="22">
        <v>1049.721325999999</v>
      </c>
      <c r="E92" s="15">
        <v>1.1169501187519804E-2</v>
      </c>
      <c r="F92" s="22">
        <v>92931.317609999998</v>
      </c>
      <c r="G92" s="15">
        <v>0.9888304988124802</v>
      </c>
    </row>
    <row r="93" spans="1:7" ht="17.5" x14ac:dyDescent="0.55000000000000004">
      <c r="A93" s="21" t="s">
        <v>103</v>
      </c>
      <c r="B93" s="21" t="s">
        <v>76</v>
      </c>
      <c r="C93" s="16">
        <v>21177.477892999999</v>
      </c>
      <c r="D93" s="22">
        <v>11760.91352</v>
      </c>
      <c r="E93" s="15">
        <v>0.55535005534759407</v>
      </c>
      <c r="F93" s="22">
        <v>9416.5643729999993</v>
      </c>
      <c r="G93" s="15">
        <v>0.44464994465240593</v>
      </c>
    </row>
    <row r="94" spans="1:7" ht="17.5" x14ac:dyDescent="0.55000000000000004">
      <c r="A94" s="21" t="s">
        <v>103</v>
      </c>
      <c r="B94" s="21" t="s">
        <v>15</v>
      </c>
      <c r="C94" s="16">
        <v>136791.25495999999</v>
      </c>
      <c r="D94" s="22">
        <v>60633.512081999987</v>
      </c>
      <c r="E94" s="15">
        <v>0.44325576294866376</v>
      </c>
      <c r="F94" s="22">
        <v>76157.742878000005</v>
      </c>
      <c r="G94" s="15">
        <v>0.55674423705133624</v>
      </c>
    </row>
    <row r="95" spans="1:7" ht="17.5" x14ac:dyDescent="0.55000000000000004">
      <c r="A95" s="21" t="s">
        <v>20</v>
      </c>
      <c r="B95" s="21" t="s">
        <v>16</v>
      </c>
      <c r="C95" s="16">
        <v>4915.7299999999996</v>
      </c>
      <c r="D95" s="22">
        <v>4915.7299999999996</v>
      </c>
      <c r="E95" s="15">
        <v>1</v>
      </c>
      <c r="F95" s="22">
        <v>0</v>
      </c>
      <c r="G95" s="15">
        <v>0</v>
      </c>
    </row>
    <row r="96" spans="1:7" ht="17.5" x14ac:dyDescent="0.55000000000000004">
      <c r="A96" s="21" t="s">
        <v>20</v>
      </c>
      <c r="B96" s="21" t="s">
        <v>12</v>
      </c>
      <c r="C96" s="16">
        <v>2512.5968900000003</v>
      </c>
      <c r="D96" s="22">
        <v>1548.9120000000003</v>
      </c>
      <c r="E96" s="15">
        <v>0.61645861545263636</v>
      </c>
      <c r="F96" s="22">
        <v>963.68488999999988</v>
      </c>
      <c r="G96" s="15">
        <v>0.38354138454736358</v>
      </c>
    </row>
    <row r="97" spans="1:7" ht="17.5" x14ac:dyDescent="0.55000000000000004">
      <c r="A97" s="21" t="s">
        <v>20</v>
      </c>
      <c r="B97" s="21" t="s">
        <v>69</v>
      </c>
      <c r="C97" s="16">
        <v>3995.0230000000001</v>
      </c>
      <c r="D97" s="22">
        <v>270.01400000000058</v>
      </c>
      <c r="E97" s="15">
        <v>6.7587595866156591E-2</v>
      </c>
      <c r="F97" s="22">
        <v>3725.0089999999996</v>
      </c>
      <c r="G97" s="15">
        <v>0.93241240413384341</v>
      </c>
    </row>
    <row r="98" spans="1:7" ht="17.5" x14ac:dyDescent="0.55000000000000004">
      <c r="A98" s="21" t="s">
        <v>20</v>
      </c>
      <c r="B98" s="21" t="s">
        <v>14</v>
      </c>
      <c r="C98" s="16">
        <v>3443.6831349999998</v>
      </c>
      <c r="D98" s="22">
        <v>1.2609999999767751E-2</v>
      </c>
      <c r="E98" s="15">
        <v>3.6617770873270672E-6</v>
      </c>
      <c r="F98" s="22">
        <v>3443.670525</v>
      </c>
      <c r="G98" s="15">
        <v>0.99999633822291267</v>
      </c>
    </row>
    <row r="99" spans="1:7" ht="17.5" x14ac:dyDescent="0.55000000000000004">
      <c r="A99" s="21" t="s">
        <v>20</v>
      </c>
      <c r="B99" s="21" t="s">
        <v>17</v>
      </c>
      <c r="C99" s="16">
        <v>2621.0909999999999</v>
      </c>
      <c r="D99" s="22">
        <v>49.935999999999694</v>
      </c>
      <c r="E99" s="15">
        <v>1.9051608662194353E-2</v>
      </c>
      <c r="F99" s="22">
        <v>2571.1550000000002</v>
      </c>
      <c r="G99" s="15">
        <v>0.98094839133780565</v>
      </c>
    </row>
    <row r="100" spans="1:7" ht="17.5" x14ac:dyDescent="0.55000000000000004">
      <c r="A100" s="21" t="s">
        <v>20</v>
      </c>
      <c r="B100" s="21" t="s">
        <v>15</v>
      </c>
      <c r="C100" s="16">
        <v>1566.4517499999999</v>
      </c>
      <c r="D100" s="22">
        <v>1434.7888969999999</v>
      </c>
      <c r="E100" s="15">
        <v>0.91594835078705739</v>
      </c>
      <c r="F100" s="22">
        <v>131.66285300000001</v>
      </c>
      <c r="G100" s="15">
        <v>8.4051649212942572E-2</v>
      </c>
    </row>
    <row r="101" spans="1:7" ht="17.5" x14ac:dyDescent="0.55000000000000004">
      <c r="A101" s="21" t="s">
        <v>21</v>
      </c>
      <c r="B101" s="21" t="s">
        <v>16</v>
      </c>
      <c r="C101" s="16">
        <v>140266.19</v>
      </c>
      <c r="D101" s="22">
        <v>103022.048205</v>
      </c>
      <c r="E101" s="15">
        <v>0.73447527308612282</v>
      </c>
      <c r="F101" s="22">
        <v>37244.141795000003</v>
      </c>
      <c r="G101" s="15">
        <v>0.26552472691387713</v>
      </c>
    </row>
    <row r="102" spans="1:7" ht="17.5" x14ac:dyDescent="0.55000000000000004">
      <c r="A102" s="21" t="s">
        <v>21</v>
      </c>
      <c r="B102" s="21" t="s">
        <v>14</v>
      </c>
      <c r="C102" s="16">
        <v>390000.146695</v>
      </c>
      <c r="D102" s="22">
        <v>10964.008293999941</v>
      </c>
      <c r="E102" s="15">
        <v>2.8112831205097888E-2</v>
      </c>
      <c r="F102" s="22">
        <v>379036.13840100006</v>
      </c>
      <c r="G102" s="15">
        <v>0.97188716879490211</v>
      </c>
    </row>
    <row r="103" spans="1:7" ht="17.5" x14ac:dyDescent="0.55000000000000004">
      <c r="A103" s="21" t="s">
        <v>21</v>
      </c>
      <c r="B103" s="21" t="s">
        <v>76</v>
      </c>
      <c r="C103" s="16">
        <v>213498.75309000001</v>
      </c>
      <c r="D103" s="22">
        <v>48212.562009000016</v>
      </c>
      <c r="E103" s="15">
        <v>0.22582128144175206</v>
      </c>
      <c r="F103" s="22">
        <v>165286.191081</v>
      </c>
      <c r="G103" s="15">
        <v>0.77417871855824794</v>
      </c>
    </row>
    <row r="104" spans="1:7" ht="17.5" x14ac:dyDescent="0.55000000000000004">
      <c r="A104" s="21" t="s">
        <v>21</v>
      </c>
      <c r="B104" s="21" t="s">
        <v>22</v>
      </c>
      <c r="C104" s="16">
        <v>190267.59923399999</v>
      </c>
      <c r="D104" s="22">
        <v>17967.009808000003</v>
      </c>
      <c r="E104" s="15">
        <v>9.4430212397347502E-2</v>
      </c>
      <c r="F104" s="22">
        <v>172300.58942599999</v>
      </c>
      <c r="G104" s="15">
        <v>0.9055697876026525</v>
      </c>
    </row>
    <row r="105" spans="1:7" ht="17.5" x14ac:dyDescent="0.55000000000000004">
      <c r="A105" s="21" t="s">
        <v>21</v>
      </c>
      <c r="B105" s="21" t="s">
        <v>15</v>
      </c>
      <c r="C105" s="16">
        <v>160196.95869599999</v>
      </c>
      <c r="D105" s="22">
        <v>6793.6229359999998</v>
      </c>
      <c r="E105" s="15">
        <v>4.2407939522073002E-2</v>
      </c>
      <c r="F105" s="22">
        <v>153403.33575999999</v>
      </c>
      <c r="G105" s="15">
        <v>0.957592060477927</v>
      </c>
    </row>
    <row r="106" spans="1:7" ht="17.5" x14ac:dyDescent="0.55000000000000004">
      <c r="A106" s="21" t="s">
        <v>23</v>
      </c>
      <c r="B106" s="21" t="s">
        <v>76</v>
      </c>
      <c r="C106" s="16">
        <v>94398.76</v>
      </c>
      <c r="D106" s="22">
        <v>94398.76</v>
      </c>
      <c r="E106" s="15">
        <v>1</v>
      </c>
      <c r="F106" s="22">
        <v>0</v>
      </c>
      <c r="G106" s="15">
        <v>0</v>
      </c>
    </row>
    <row r="107" spans="1:7" ht="17.5" x14ac:dyDescent="0.55000000000000004">
      <c r="A107" s="21" t="s">
        <v>23</v>
      </c>
      <c r="B107" s="21" t="s">
        <v>24</v>
      </c>
      <c r="C107" s="16">
        <v>112675.29399999999</v>
      </c>
      <c r="D107" s="22">
        <v>5305.5469999999914</v>
      </c>
      <c r="E107" s="15">
        <v>4.7087048204196291E-2</v>
      </c>
      <c r="F107" s="22">
        <v>107369.747</v>
      </c>
      <c r="G107" s="15">
        <v>0.95291295179580371</v>
      </c>
    </row>
    <row r="108" spans="1:7" ht="17.5" x14ac:dyDescent="0.55000000000000004">
      <c r="A108" s="21" t="s">
        <v>23</v>
      </c>
      <c r="B108" s="21" t="s">
        <v>25</v>
      </c>
      <c r="C108" s="16">
        <v>87251.55</v>
      </c>
      <c r="D108" s="22">
        <v>323.41599999999744</v>
      </c>
      <c r="E108" s="15">
        <v>3.7067077891452804E-3</v>
      </c>
      <c r="F108" s="22">
        <v>86928.134000000005</v>
      </c>
      <c r="G108" s="15">
        <v>0.99629329221085472</v>
      </c>
    </row>
    <row r="109" spans="1:7" ht="17.5" x14ac:dyDescent="0.55000000000000004">
      <c r="A109" s="21" t="s">
        <v>23</v>
      </c>
      <c r="B109" s="21" t="s">
        <v>15</v>
      </c>
      <c r="C109" s="16">
        <v>137840.68</v>
      </c>
      <c r="D109" s="22">
        <v>72980.451549999998</v>
      </c>
      <c r="E109" s="15">
        <v>0.52945510389240669</v>
      </c>
      <c r="F109" s="22">
        <v>64860.228450000002</v>
      </c>
      <c r="G109" s="15">
        <v>0.47054489610759326</v>
      </c>
    </row>
    <row r="110" spans="1:7" ht="17.5" x14ac:dyDescent="0.55000000000000004">
      <c r="A110" s="21" t="s">
        <v>23</v>
      </c>
      <c r="B110" s="21" t="s">
        <v>81</v>
      </c>
      <c r="C110" s="16">
        <v>27568.135999999999</v>
      </c>
      <c r="D110" s="22">
        <v>13892.988699999998</v>
      </c>
      <c r="E110" s="15">
        <v>0.50395096353268132</v>
      </c>
      <c r="F110" s="22">
        <v>13675.147300000001</v>
      </c>
      <c r="G110" s="15">
        <v>0.49604903646731868</v>
      </c>
    </row>
    <row r="111" spans="1:7" ht="17.5" x14ac:dyDescent="0.55000000000000004">
      <c r="A111" s="21" t="s">
        <v>23</v>
      </c>
      <c r="B111" s="21" t="s">
        <v>78</v>
      </c>
      <c r="C111" s="16">
        <v>27568.135999999999</v>
      </c>
      <c r="D111" s="22">
        <v>27568.135999999999</v>
      </c>
      <c r="E111" s="15">
        <v>1</v>
      </c>
      <c r="F111" s="22">
        <v>0</v>
      </c>
      <c r="G111" s="15">
        <v>0</v>
      </c>
    </row>
    <row r="112" spans="1:7" ht="17.5" x14ac:dyDescent="0.55000000000000004">
      <c r="A112" s="21" t="s">
        <v>26</v>
      </c>
      <c r="B112" s="21" t="s">
        <v>12</v>
      </c>
      <c r="C112" s="16">
        <v>31733.56</v>
      </c>
      <c r="D112" s="22">
        <v>31733.56</v>
      </c>
      <c r="E112" s="15">
        <v>1</v>
      </c>
      <c r="F112" s="22">
        <v>0</v>
      </c>
      <c r="G112" s="15">
        <v>0</v>
      </c>
    </row>
    <row r="113" spans="1:7" ht="17.5" x14ac:dyDescent="0.55000000000000004">
      <c r="A113" s="21" t="s">
        <v>26</v>
      </c>
      <c r="B113" s="21" t="s">
        <v>14</v>
      </c>
      <c r="C113" s="16">
        <v>4637.47</v>
      </c>
      <c r="D113" s="22">
        <v>1243.399727</v>
      </c>
      <c r="E113" s="15">
        <v>0.2681202739855999</v>
      </c>
      <c r="F113" s="22">
        <v>3394.0702730000003</v>
      </c>
      <c r="G113" s="15">
        <v>0.7318797260144001</v>
      </c>
    </row>
    <row r="114" spans="1:7" ht="17.5" x14ac:dyDescent="0.55000000000000004">
      <c r="A114" s="21" t="s">
        <v>26</v>
      </c>
      <c r="B114" s="21" t="s">
        <v>22</v>
      </c>
      <c r="C114" s="16">
        <v>4564.7299999999996</v>
      </c>
      <c r="D114" s="22">
        <v>1717.0026229999999</v>
      </c>
      <c r="E114" s="15">
        <v>0.37614549447612455</v>
      </c>
      <c r="F114" s="22">
        <v>2847.7273769999997</v>
      </c>
      <c r="G114" s="15">
        <v>0.62385450552387545</v>
      </c>
    </row>
    <row r="115" spans="1:7" ht="17.5" x14ac:dyDescent="0.55000000000000004">
      <c r="A115" s="21" t="s">
        <v>26</v>
      </c>
      <c r="B115" s="21" t="s">
        <v>15</v>
      </c>
      <c r="C115" s="16">
        <v>5149.72</v>
      </c>
      <c r="D115" s="22">
        <v>3107.985126</v>
      </c>
      <c r="E115" s="15">
        <v>0.60352507048926929</v>
      </c>
      <c r="F115" s="22">
        <v>2041.7348740000002</v>
      </c>
      <c r="G115" s="15">
        <v>0.39647492951073071</v>
      </c>
    </row>
    <row r="116" spans="1:7" ht="17.5" x14ac:dyDescent="0.55000000000000004">
      <c r="A116" s="21" t="s">
        <v>26</v>
      </c>
      <c r="B116" s="21" t="s">
        <v>116</v>
      </c>
      <c r="C116" s="16">
        <v>1287.43</v>
      </c>
      <c r="D116" s="22">
        <v>1287.43</v>
      </c>
      <c r="E116" s="15">
        <v>1</v>
      </c>
      <c r="F116" s="22">
        <v>0</v>
      </c>
      <c r="G116" s="15">
        <v>0</v>
      </c>
    </row>
    <row r="117" spans="1:7" ht="17.5" x14ac:dyDescent="0.55000000000000004">
      <c r="A117" s="21" t="s">
        <v>26</v>
      </c>
      <c r="B117" s="21" t="s">
        <v>92</v>
      </c>
      <c r="C117" s="16">
        <v>1287.43</v>
      </c>
      <c r="D117" s="22">
        <v>1287.43</v>
      </c>
      <c r="E117" s="15">
        <v>1</v>
      </c>
      <c r="F117" s="22">
        <v>0</v>
      </c>
      <c r="G117" s="15">
        <v>0</v>
      </c>
    </row>
    <row r="118" spans="1:7" ht="17.5" x14ac:dyDescent="0.55000000000000004">
      <c r="A118" s="21" t="s">
        <v>27</v>
      </c>
      <c r="B118" s="21" t="s">
        <v>12</v>
      </c>
      <c r="C118" s="16">
        <v>11314.229546</v>
      </c>
      <c r="D118" s="22">
        <v>3647.5020000000004</v>
      </c>
      <c r="E118" s="15">
        <v>0.32238182769497792</v>
      </c>
      <c r="F118" s="22">
        <v>7666.7275460000001</v>
      </c>
      <c r="G118" s="15">
        <v>0.67761817230502208</v>
      </c>
    </row>
    <row r="119" spans="1:7" ht="17.5" x14ac:dyDescent="0.55000000000000004">
      <c r="A119" s="21" t="s">
        <v>27</v>
      </c>
      <c r="B119" s="21" t="s">
        <v>17</v>
      </c>
      <c r="C119" s="16">
        <v>8866.83</v>
      </c>
      <c r="D119" s="22">
        <v>2168.5879999999997</v>
      </c>
      <c r="E119" s="15">
        <v>0.24457308869122329</v>
      </c>
      <c r="F119" s="22">
        <v>6698.2420000000002</v>
      </c>
      <c r="G119" s="15">
        <v>0.75542691130877671</v>
      </c>
    </row>
    <row r="120" spans="1:7" ht="17.5" x14ac:dyDescent="0.55000000000000004">
      <c r="A120" s="21" t="s">
        <v>27</v>
      </c>
      <c r="B120" s="21" t="s">
        <v>14</v>
      </c>
      <c r="C120" s="16">
        <v>10532.266251999999</v>
      </c>
      <c r="D120" s="22">
        <v>1373.6130309999971</v>
      </c>
      <c r="E120" s="15">
        <v>0.13041951258487772</v>
      </c>
      <c r="F120" s="22">
        <v>9158.6532210000023</v>
      </c>
      <c r="G120" s="15">
        <v>0.86958048741512228</v>
      </c>
    </row>
    <row r="121" spans="1:7" ht="17.5" x14ac:dyDescent="0.55000000000000004">
      <c r="A121" s="21" t="s">
        <v>27</v>
      </c>
      <c r="B121" s="21" t="s">
        <v>13</v>
      </c>
      <c r="C121" s="16">
        <v>2613.6243999999997</v>
      </c>
      <c r="D121" s="22">
        <v>589.7243999999996</v>
      </c>
      <c r="E121" s="15">
        <v>0.22563471629664911</v>
      </c>
      <c r="F121" s="22">
        <v>2023.9</v>
      </c>
      <c r="G121" s="15">
        <v>0.77436528370335089</v>
      </c>
    </row>
    <row r="122" spans="1:7" ht="17.5" x14ac:dyDescent="0.55000000000000004">
      <c r="A122" s="21" t="s">
        <v>27</v>
      </c>
      <c r="B122" s="21" t="s">
        <v>28</v>
      </c>
      <c r="C122" s="16">
        <v>2331.3327199999999</v>
      </c>
      <c r="D122" s="22">
        <v>1109.1971799999999</v>
      </c>
      <c r="E122" s="15">
        <v>0.47577815490875108</v>
      </c>
      <c r="F122" s="22">
        <v>1222.13554</v>
      </c>
      <c r="G122" s="15">
        <v>0.52422184509124892</v>
      </c>
    </row>
    <row r="123" spans="1:7" ht="17.5" x14ac:dyDescent="0.55000000000000004">
      <c r="A123" s="21" t="s">
        <v>27</v>
      </c>
      <c r="B123" s="21" t="s">
        <v>15</v>
      </c>
      <c r="C123" s="16">
        <v>7649.8169469999993</v>
      </c>
      <c r="D123" s="22">
        <v>59.76299999999992</v>
      </c>
      <c r="E123" s="15">
        <v>7.8123438003881995E-3</v>
      </c>
      <c r="F123" s="22">
        <v>7590.0539469999994</v>
      </c>
      <c r="G123" s="15">
        <v>0.9921876561996118</v>
      </c>
    </row>
    <row r="124" spans="1:7" ht="17.5" x14ac:dyDescent="0.55000000000000004">
      <c r="A124" s="21" t="s">
        <v>29</v>
      </c>
      <c r="B124" s="21" t="s">
        <v>14</v>
      </c>
      <c r="C124" s="16">
        <v>162973.44</v>
      </c>
      <c r="D124" s="22">
        <v>62374.763680000004</v>
      </c>
      <c r="E124" s="15">
        <v>0.38272962563715907</v>
      </c>
      <c r="F124" s="22">
        <v>100598.67632</v>
      </c>
      <c r="G124" s="15">
        <v>0.61727037436284093</v>
      </c>
    </row>
    <row r="125" spans="1:7" ht="17.5" x14ac:dyDescent="0.55000000000000004">
      <c r="A125" s="21" t="s">
        <v>29</v>
      </c>
      <c r="B125" s="21" t="s">
        <v>22</v>
      </c>
      <c r="C125" s="16">
        <v>115086.98</v>
      </c>
      <c r="D125" s="22">
        <v>43626.09</v>
      </c>
      <c r="E125" s="15">
        <v>0.37907059512726804</v>
      </c>
      <c r="F125" s="22">
        <v>71460.89</v>
      </c>
      <c r="G125" s="15">
        <v>0.62092940487273196</v>
      </c>
    </row>
    <row r="126" spans="1:7" ht="17.5" x14ac:dyDescent="0.55000000000000004">
      <c r="A126" s="21" t="s">
        <v>29</v>
      </c>
      <c r="B126" s="21" t="s">
        <v>76</v>
      </c>
      <c r="C126" s="16">
        <v>98054.96</v>
      </c>
      <c r="D126" s="22">
        <v>98054.96</v>
      </c>
      <c r="E126" s="15">
        <v>1</v>
      </c>
      <c r="F126" s="22">
        <v>0</v>
      </c>
      <c r="G126" s="15">
        <v>0</v>
      </c>
    </row>
    <row r="127" spans="1:7" ht="17.5" x14ac:dyDescent="0.55000000000000004">
      <c r="A127" s="21" t="s">
        <v>29</v>
      </c>
      <c r="B127" s="21" t="s">
        <v>25</v>
      </c>
      <c r="C127" s="16">
        <v>59018.48</v>
      </c>
      <c r="D127" s="22">
        <v>6235.3980000000083</v>
      </c>
      <c r="E127" s="15">
        <v>0.10565161962829284</v>
      </c>
      <c r="F127" s="22">
        <v>52783.081999999995</v>
      </c>
      <c r="G127" s="15">
        <v>0.89434838037170716</v>
      </c>
    </row>
    <row r="128" spans="1:7" ht="17.5" x14ac:dyDescent="0.55000000000000004">
      <c r="A128" s="21" t="s">
        <v>29</v>
      </c>
      <c r="B128" s="21" t="s">
        <v>15</v>
      </c>
      <c r="C128" s="16">
        <v>100498.9</v>
      </c>
      <c r="D128" s="22">
        <v>53468.950955999993</v>
      </c>
      <c r="E128" s="15">
        <v>0.53203518601696143</v>
      </c>
      <c r="F128" s="22">
        <v>47029.949044000001</v>
      </c>
      <c r="G128" s="15">
        <v>0.46796481398303863</v>
      </c>
    </row>
    <row r="129" spans="1:7" ht="17.5" x14ac:dyDescent="0.55000000000000004">
      <c r="A129" s="21" t="s">
        <v>29</v>
      </c>
      <c r="B129" s="21" t="s">
        <v>80</v>
      </c>
      <c r="C129" s="16">
        <v>15074.834999999999</v>
      </c>
      <c r="D129" s="22">
        <v>14989.919999999998</v>
      </c>
      <c r="E129" s="15">
        <v>0.99436710252550031</v>
      </c>
      <c r="F129" s="22">
        <v>84.915000000000006</v>
      </c>
      <c r="G129" s="15">
        <v>5.6328974744997221E-3</v>
      </c>
    </row>
    <row r="130" spans="1:7" ht="17.5" x14ac:dyDescent="0.55000000000000004">
      <c r="A130" s="21" t="s">
        <v>29</v>
      </c>
      <c r="B130" s="21" t="s">
        <v>81</v>
      </c>
      <c r="C130" s="16">
        <v>15074.834999999999</v>
      </c>
      <c r="D130" s="22">
        <v>13339.908952</v>
      </c>
      <c r="E130" s="15">
        <v>0.88491243532682118</v>
      </c>
      <c r="F130" s="22">
        <v>1734.926048</v>
      </c>
      <c r="G130" s="15">
        <v>0.11508756467317885</v>
      </c>
    </row>
    <row r="131" spans="1:7" ht="17.5" x14ac:dyDescent="0.55000000000000004">
      <c r="A131" s="21" t="s">
        <v>29</v>
      </c>
      <c r="B131" s="21" t="s">
        <v>78</v>
      </c>
      <c r="C131" s="16">
        <v>15074.834999999999</v>
      </c>
      <c r="D131" s="22">
        <v>15003.780999999999</v>
      </c>
      <c r="E131" s="15">
        <v>0.99528658190952002</v>
      </c>
      <c r="F131" s="22">
        <v>71.054000000000002</v>
      </c>
      <c r="G131" s="15">
        <v>4.7134180904799296E-3</v>
      </c>
    </row>
    <row r="132" spans="1:7" ht="17.5" x14ac:dyDescent="0.55000000000000004">
      <c r="A132" s="21" t="s">
        <v>29</v>
      </c>
      <c r="B132" s="21" t="s">
        <v>82</v>
      </c>
      <c r="C132" s="16">
        <v>15074.834999999999</v>
      </c>
      <c r="D132" s="22">
        <v>3539.3999999999996</v>
      </c>
      <c r="E132" s="15">
        <v>0.23478863947764606</v>
      </c>
      <c r="F132" s="22">
        <v>11535.434999999999</v>
      </c>
      <c r="G132" s="15">
        <v>0.76521136052235394</v>
      </c>
    </row>
    <row r="133" spans="1:7" ht="17.5" x14ac:dyDescent="0.55000000000000004">
      <c r="A133" s="21" t="s">
        <v>29</v>
      </c>
      <c r="B133" s="21" t="s">
        <v>83</v>
      </c>
      <c r="C133" s="16">
        <v>15074.834999999999</v>
      </c>
      <c r="D133" s="22">
        <v>3477.8959999999988</v>
      </c>
      <c r="E133" s="15">
        <v>0.23070872749187632</v>
      </c>
      <c r="F133" s="22">
        <v>11596.939</v>
      </c>
      <c r="G133" s="15">
        <v>0.76929127250812368</v>
      </c>
    </row>
    <row r="134" spans="1:7" ht="17.5" x14ac:dyDescent="0.55000000000000004">
      <c r="A134" s="21" t="s">
        <v>29</v>
      </c>
      <c r="B134" s="21" t="s">
        <v>79</v>
      </c>
      <c r="C134" s="16">
        <v>15074.834999999999</v>
      </c>
      <c r="D134" s="22">
        <v>1712.9779999999992</v>
      </c>
      <c r="E134" s="15">
        <v>0.11363162515543279</v>
      </c>
      <c r="F134" s="22">
        <v>13361.857</v>
      </c>
      <c r="G134" s="15">
        <v>0.88636837484456721</v>
      </c>
    </row>
    <row r="135" spans="1:7" ht="17.5" x14ac:dyDescent="0.55000000000000004">
      <c r="A135" s="21" t="s">
        <v>29</v>
      </c>
      <c r="B135" s="21" t="s">
        <v>85</v>
      </c>
      <c r="C135" s="16">
        <v>15074.834999999999</v>
      </c>
      <c r="D135" s="22">
        <v>1452.5519999999979</v>
      </c>
      <c r="E135" s="15">
        <v>9.6356079519278159E-2</v>
      </c>
      <c r="F135" s="22">
        <v>13622.283000000001</v>
      </c>
      <c r="G135" s="15">
        <v>0.90364392048072184</v>
      </c>
    </row>
    <row r="136" spans="1:7" ht="17.5" x14ac:dyDescent="0.55000000000000004">
      <c r="A136" s="21" t="s">
        <v>30</v>
      </c>
      <c r="B136" s="21" t="s">
        <v>15</v>
      </c>
      <c r="C136" s="16">
        <v>67479.69</v>
      </c>
      <c r="D136" s="22">
        <v>49796.519084</v>
      </c>
      <c r="E136" s="15">
        <v>0.73794824908057521</v>
      </c>
      <c r="F136" s="22">
        <v>17683.170915999999</v>
      </c>
      <c r="G136" s="15">
        <v>0.26205175091942479</v>
      </c>
    </row>
    <row r="137" spans="1:7" ht="17.5" x14ac:dyDescent="0.55000000000000004">
      <c r="A137" s="21" t="s">
        <v>30</v>
      </c>
      <c r="B137" s="21" t="s">
        <v>112</v>
      </c>
      <c r="C137" s="16">
        <v>10121.954</v>
      </c>
      <c r="D137" s="22">
        <v>10121.954</v>
      </c>
      <c r="E137" s="15">
        <v>1</v>
      </c>
      <c r="F137" s="22">
        <v>0</v>
      </c>
      <c r="G137" s="15">
        <v>0</v>
      </c>
    </row>
    <row r="138" spans="1:7" ht="17.5" x14ac:dyDescent="0.55000000000000004">
      <c r="A138" s="21" t="s">
        <v>30</v>
      </c>
      <c r="B138" s="21" t="s">
        <v>117</v>
      </c>
      <c r="C138" s="16">
        <v>10121.954</v>
      </c>
      <c r="D138" s="22">
        <v>4735.8237390000004</v>
      </c>
      <c r="E138" s="15">
        <v>0.46787643364117248</v>
      </c>
      <c r="F138" s="22">
        <v>5386.1302609999993</v>
      </c>
      <c r="G138" s="15">
        <v>0.53212356635882752</v>
      </c>
    </row>
    <row r="139" spans="1:7" ht="17.5" x14ac:dyDescent="0.55000000000000004">
      <c r="A139" s="21" t="s">
        <v>31</v>
      </c>
      <c r="B139" s="21" t="s">
        <v>16</v>
      </c>
      <c r="C139" s="16">
        <v>6999.05</v>
      </c>
      <c r="D139" s="22">
        <v>3181.7397200000005</v>
      </c>
      <c r="E139" s="15">
        <v>0.45459594087769062</v>
      </c>
      <c r="F139" s="22">
        <v>3817.3102799999997</v>
      </c>
      <c r="G139" s="15">
        <v>0.54540405912230938</v>
      </c>
    </row>
    <row r="140" spans="1:7" ht="17.5" x14ac:dyDescent="0.55000000000000004">
      <c r="A140" s="21" t="s">
        <v>31</v>
      </c>
      <c r="B140" s="21" t="s">
        <v>32</v>
      </c>
      <c r="C140" s="16">
        <v>3463.87</v>
      </c>
      <c r="D140" s="22">
        <v>0</v>
      </c>
      <c r="E140" s="15">
        <v>0</v>
      </c>
      <c r="F140" s="22">
        <v>3463.87</v>
      </c>
      <c r="G140" s="15">
        <v>1</v>
      </c>
    </row>
    <row r="141" spans="1:7" ht="17.5" x14ac:dyDescent="0.55000000000000004">
      <c r="A141" s="21" t="s">
        <v>31</v>
      </c>
      <c r="B141" s="21" t="s">
        <v>14</v>
      </c>
      <c r="C141" s="16">
        <v>898.26</v>
      </c>
      <c r="D141" s="22">
        <v>28.116704000000027</v>
      </c>
      <c r="E141" s="15">
        <v>3.1301298065148253E-2</v>
      </c>
      <c r="F141" s="22">
        <v>870.14329599999996</v>
      </c>
      <c r="G141" s="15">
        <v>0.96869870193485175</v>
      </c>
    </row>
    <row r="142" spans="1:7" ht="17.5" x14ac:dyDescent="0.55000000000000004">
      <c r="A142" s="21" t="s">
        <v>31</v>
      </c>
      <c r="B142" s="21" t="s">
        <v>15</v>
      </c>
      <c r="C142" s="16">
        <v>336.38</v>
      </c>
      <c r="D142" s="22">
        <v>0.65999999999996817</v>
      </c>
      <c r="E142" s="15">
        <v>1.9620667102681066E-3</v>
      </c>
      <c r="F142" s="22">
        <v>335.72</v>
      </c>
      <c r="G142" s="15">
        <v>0.99803793328973189</v>
      </c>
    </row>
    <row r="143" spans="1:7" ht="17.5" x14ac:dyDescent="0.55000000000000004">
      <c r="A143" s="21" t="s">
        <v>33</v>
      </c>
      <c r="B143" s="21" t="s">
        <v>14</v>
      </c>
      <c r="C143" s="16">
        <v>12801.992199999999</v>
      </c>
      <c r="D143" s="22">
        <v>1169.4515679999986</v>
      </c>
      <c r="E143" s="15">
        <v>9.1349186105581182E-2</v>
      </c>
      <c r="F143" s="22">
        <v>11632.540632</v>
      </c>
      <c r="G143" s="15">
        <v>0.90865081389441882</v>
      </c>
    </row>
    <row r="144" spans="1:7" ht="17.5" x14ac:dyDescent="0.55000000000000004">
      <c r="A144" s="21" t="s">
        <v>33</v>
      </c>
      <c r="B144" s="21" t="s">
        <v>76</v>
      </c>
      <c r="C144" s="23">
        <v>2928.2186000000002</v>
      </c>
      <c r="D144" s="22">
        <v>420.98500000000013</v>
      </c>
      <c r="E144" s="24">
        <v>0.14376829653359902</v>
      </c>
      <c r="F144" s="22">
        <v>2507.2336</v>
      </c>
      <c r="G144" s="24">
        <v>0.85623170346640098</v>
      </c>
    </row>
    <row r="145" spans="1:7" ht="17.5" x14ac:dyDescent="0.55000000000000004">
      <c r="A145" s="21" t="s">
        <v>33</v>
      </c>
      <c r="B145" s="21" t="s">
        <v>16</v>
      </c>
      <c r="C145" s="23">
        <v>2680.3880199999999</v>
      </c>
      <c r="D145" s="22">
        <v>528.58999999999969</v>
      </c>
      <c r="E145" s="24">
        <v>0.1972065223601468</v>
      </c>
      <c r="F145" s="22">
        <v>2151.7980200000002</v>
      </c>
      <c r="G145" s="24">
        <v>0.8027934776398532</v>
      </c>
    </row>
    <row r="146" spans="1:7" ht="17.5" x14ac:dyDescent="0.55000000000000004">
      <c r="A146" s="21" t="s">
        <v>33</v>
      </c>
      <c r="B146" s="21" t="s">
        <v>15</v>
      </c>
      <c r="C146" s="23">
        <v>2687.6325549999997</v>
      </c>
      <c r="D146" s="22">
        <v>71.974999999999454</v>
      </c>
      <c r="E146" s="24">
        <v>2.6780074480828531E-2</v>
      </c>
      <c r="F146" s="22">
        <v>2615.6575550000002</v>
      </c>
      <c r="G146" s="24">
        <v>0.97321992551917147</v>
      </c>
    </row>
    <row r="147" spans="1:7" ht="17.5" x14ac:dyDescent="0.55000000000000004">
      <c r="A147" s="21" t="s">
        <v>34</v>
      </c>
      <c r="B147" s="21" t="s">
        <v>76</v>
      </c>
      <c r="C147" s="23">
        <v>49432.86</v>
      </c>
      <c r="D147" s="22">
        <v>49432.86</v>
      </c>
      <c r="E147" s="24">
        <v>1</v>
      </c>
      <c r="F147" s="22">
        <v>0</v>
      </c>
      <c r="G147" s="24">
        <v>0</v>
      </c>
    </row>
    <row r="148" spans="1:7" ht="17.5" x14ac:dyDescent="0.55000000000000004">
      <c r="A148" s="21" t="s">
        <v>34</v>
      </c>
      <c r="B148" s="21" t="s">
        <v>12</v>
      </c>
      <c r="C148" s="23">
        <v>19023.32</v>
      </c>
      <c r="D148" s="22">
        <v>9031.5246199999983</v>
      </c>
      <c r="E148" s="24">
        <v>0.47476069476831584</v>
      </c>
      <c r="F148" s="22">
        <v>9991.7953800000014</v>
      </c>
      <c r="G148" s="24">
        <v>0.52523930523168416</v>
      </c>
    </row>
    <row r="149" spans="1:7" ht="17.5" x14ac:dyDescent="0.55000000000000004">
      <c r="A149" s="21" t="s">
        <v>34</v>
      </c>
      <c r="B149" s="21" t="s">
        <v>35</v>
      </c>
      <c r="C149" s="23">
        <v>7026.16</v>
      </c>
      <c r="D149" s="22">
        <v>6822.3637499999995</v>
      </c>
      <c r="E149" s="24">
        <v>0.9709946471472326</v>
      </c>
      <c r="F149" s="22">
        <v>203.79625000000001</v>
      </c>
      <c r="G149" s="24">
        <v>2.9005352852767376E-2</v>
      </c>
    </row>
    <row r="150" spans="1:7" ht="17.5" x14ac:dyDescent="0.55000000000000004">
      <c r="A150" s="21" t="s">
        <v>34</v>
      </c>
      <c r="B150" s="21" t="s">
        <v>14</v>
      </c>
      <c r="C150" s="23">
        <v>6683.72</v>
      </c>
      <c r="D150" s="22">
        <v>2646.8746790000005</v>
      </c>
      <c r="E150" s="24">
        <v>0.39601818732681804</v>
      </c>
      <c r="F150" s="22">
        <v>4036.8453209999998</v>
      </c>
      <c r="G150" s="24">
        <v>0.60398181267318196</v>
      </c>
    </row>
    <row r="151" spans="1:7" ht="17.5" x14ac:dyDescent="0.55000000000000004">
      <c r="A151" s="21" t="s">
        <v>34</v>
      </c>
      <c r="B151" s="21" t="s">
        <v>15</v>
      </c>
      <c r="C151" s="23">
        <v>11107.36</v>
      </c>
      <c r="D151" s="22">
        <v>4678.3383870000007</v>
      </c>
      <c r="E151" s="24">
        <v>0.42119264946846058</v>
      </c>
      <c r="F151" s="22">
        <v>6429.0216129999999</v>
      </c>
      <c r="G151" s="24">
        <v>0.57880735053153942</v>
      </c>
    </row>
    <row r="152" spans="1:7" ht="17.5" x14ac:dyDescent="0.55000000000000004">
      <c r="A152" s="21" t="s">
        <v>34</v>
      </c>
      <c r="B152" s="21" t="s">
        <v>118</v>
      </c>
      <c r="C152" s="23">
        <v>3332.2080000000001</v>
      </c>
      <c r="D152" s="22">
        <v>3318.5419999999999</v>
      </c>
      <c r="E152" s="24">
        <v>0.99589881544009262</v>
      </c>
      <c r="F152" s="22">
        <v>13.666</v>
      </c>
      <c r="G152" s="24">
        <v>4.101184559907425E-3</v>
      </c>
    </row>
    <row r="153" spans="1:7" ht="17.5" x14ac:dyDescent="0.55000000000000004">
      <c r="A153" s="21" t="s">
        <v>34</v>
      </c>
      <c r="B153" s="21" t="s">
        <v>83</v>
      </c>
      <c r="C153" s="23">
        <v>3332.2080000000001</v>
      </c>
      <c r="D153" s="22">
        <v>532.29871299999968</v>
      </c>
      <c r="E153" s="24">
        <v>0.15974354332022478</v>
      </c>
      <c r="F153" s="22">
        <v>2799.9092870000004</v>
      </c>
      <c r="G153" s="24">
        <v>0.84025645667977522</v>
      </c>
    </row>
    <row r="154" spans="1:7" ht="17.5" x14ac:dyDescent="0.55000000000000004">
      <c r="A154" s="21" t="s">
        <v>36</v>
      </c>
      <c r="B154" s="21" t="s">
        <v>76</v>
      </c>
      <c r="C154" s="23">
        <v>83949.07</v>
      </c>
      <c r="D154" s="22">
        <v>83949.07</v>
      </c>
      <c r="E154" s="24">
        <v>1</v>
      </c>
      <c r="F154" s="22">
        <v>0</v>
      </c>
      <c r="G154" s="24">
        <v>0</v>
      </c>
    </row>
    <row r="155" spans="1:7" ht="17.5" x14ac:dyDescent="0.55000000000000004">
      <c r="A155" s="21" t="s">
        <v>36</v>
      </c>
      <c r="B155" s="21" t="s">
        <v>14</v>
      </c>
      <c r="C155" s="23">
        <v>48032.51</v>
      </c>
      <c r="D155" s="22">
        <v>16270.913678000001</v>
      </c>
      <c r="E155" s="24">
        <v>0.33874793713674345</v>
      </c>
      <c r="F155" s="22">
        <v>31761.596322000001</v>
      </c>
      <c r="G155" s="24">
        <v>0.66125206286325655</v>
      </c>
    </row>
    <row r="156" spans="1:7" ht="17.5" x14ac:dyDescent="0.55000000000000004">
      <c r="A156" s="21" t="s">
        <v>36</v>
      </c>
      <c r="B156" s="21" t="s">
        <v>35</v>
      </c>
      <c r="C156" s="23">
        <v>26210.46</v>
      </c>
      <c r="D156" s="22">
        <v>17306.806140000001</v>
      </c>
      <c r="E156" s="24">
        <v>0.66030150329296022</v>
      </c>
      <c r="F156" s="22">
        <v>8903.6538599999985</v>
      </c>
      <c r="G156" s="24">
        <v>0.33969849670703983</v>
      </c>
    </row>
    <row r="157" spans="1:7" ht="17.5" x14ac:dyDescent="0.55000000000000004">
      <c r="A157" s="21" t="s">
        <v>36</v>
      </c>
      <c r="B157" s="21" t="s">
        <v>22</v>
      </c>
      <c r="C157" s="23">
        <v>15648.38</v>
      </c>
      <c r="D157" s="22">
        <v>169.53388799999993</v>
      </c>
      <c r="E157" s="24">
        <v>1.0833957764318058E-2</v>
      </c>
      <c r="F157" s="22">
        <v>15478.846111999999</v>
      </c>
      <c r="G157" s="24">
        <v>0.98916604223568194</v>
      </c>
    </row>
    <row r="158" spans="1:7" ht="17.5" x14ac:dyDescent="0.55000000000000004">
      <c r="A158" s="21" t="s">
        <v>36</v>
      </c>
      <c r="B158" s="21" t="s">
        <v>15</v>
      </c>
      <c r="C158" s="23">
        <v>18553.09</v>
      </c>
      <c r="D158" s="22">
        <v>10477.194433000001</v>
      </c>
      <c r="E158" s="24">
        <v>0.56471425692431831</v>
      </c>
      <c r="F158" s="22">
        <v>8075.8955669999996</v>
      </c>
      <c r="G158" s="24">
        <v>0.43528574307568169</v>
      </c>
    </row>
    <row r="159" spans="1:7" ht="17.5" x14ac:dyDescent="0.55000000000000004">
      <c r="A159" s="21" t="s">
        <v>36</v>
      </c>
      <c r="B159" s="21" t="s">
        <v>116</v>
      </c>
      <c r="C159" s="23">
        <v>5565.9269999999997</v>
      </c>
      <c r="D159" s="22">
        <v>5565.9269999999997</v>
      </c>
      <c r="E159" s="24">
        <v>1</v>
      </c>
      <c r="F159" s="22">
        <v>0</v>
      </c>
      <c r="G159" s="24">
        <v>0</v>
      </c>
    </row>
    <row r="160" spans="1:7" ht="17.5" x14ac:dyDescent="0.55000000000000004">
      <c r="A160" s="21" t="s">
        <v>36</v>
      </c>
      <c r="B160" s="21" t="s">
        <v>85</v>
      </c>
      <c r="C160" s="23">
        <v>5565.9269999999997</v>
      </c>
      <c r="D160" s="22">
        <v>3187.8840899999991</v>
      </c>
      <c r="E160" s="24">
        <v>0.57274989233599349</v>
      </c>
      <c r="F160" s="22">
        <v>2378.0429100000006</v>
      </c>
      <c r="G160" s="24">
        <v>0.42725010766400651</v>
      </c>
    </row>
    <row r="161" spans="1:7" ht="17.5" x14ac:dyDescent="0.55000000000000004">
      <c r="A161" s="21" t="s">
        <v>37</v>
      </c>
      <c r="B161" s="21" t="s">
        <v>12</v>
      </c>
      <c r="C161" s="23">
        <v>5880.42</v>
      </c>
      <c r="D161" s="22">
        <v>5880.42</v>
      </c>
      <c r="E161" s="24">
        <v>1</v>
      </c>
      <c r="F161" s="22">
        <v>0</v>
      </c>
      <c r="G161" s="24">
        <v>0</v>
      </c>
    </row>
    <row r="162" spans="1:7" ht="17.5" x14ac:dyDescent="0.55000000000000004">
      <c r="A162" s="21" t="s">
        <v>37</v>
      </c>
      <c r="B162" s="21" t="s">
        <v>14</v>
      </c>
      <c r="C162" s="23">
        <v>1869.03</v>
      </c>
      <c r="D162" s="22">
        <v>122.8345539999998</v>
      </c>
      <c r="E162" s="24">
        <v>6.5721017854180941E-2</v>
      </c>
      <c r="F162" s="22">
        <v>1746.1954460000002</v>
      </c>
      <c r="G162" s="24">
        <v>0.93427898214581906</v>
      </c>
    </row>
    <row r="163" spans="1:7" ht="17.5" x14ac:dyDescent="0.55000000000000004">
      <c r="A163" s="21" t="s">
        <v>37</v>
      </c>
      <c r="B163" s="21" t="s">
        <v>13</v>
      </c>
      <c r="C163" s="23">
        <v>1157.5</v>
      </c>
      <c r="D163" s="22">
        <v>341.21597999999994</v>
      </c>
      <c r="E163" s="24">
        <v>0.29478702375809929</v>
      </c>
      <c r="F163" s="22">
        <v>816.28402000000006</v>
      </c>
      <c r="G163" s="24">
        <v>0.70521297624190071</v>
      </c>
    </row>
    <row r="164" spans="1:7" ht="17.5" x14ac:dyDescent="0.55000000000000004">
      <c r="A164" s="21" t="s">
        <v>37</v>
      </c>
      <c r="B164" s="21" t="s">
        <v>28</v>
      </c>
      <c r="C164" s="23">
        <v>1076.42</v>
      </c>
      <c r="D164" s="22">
        <v>260.68140200000016</v>
      </c>
      <c r="E164" s="24">
        <v>0.24217443191319388</v>
      </c>
      <c r="F164" s="22">
        <v>815.73859799999991</v>
      </c>
      <c r="G164" s="24">
        <v>0.75782556808680612</v>
      </c>
    </row>
    <row r="165" spans="1:7" ht="17.5" x14ac:dyDescent="0.55000000000000004">
      <c r="A165" s="21" t="s">
        <v>37</v>
      </c>
      <c r="B165" s="21" t="s">
        <v>16</v>
      </c>
      <c r="C165" s="23">
        <v>923.55</v>
      </c>
      <c r="D165" s="22">
        <v>287.83499800000004</v>
      </c>
      <c r="E165" s="24">
        <v>0.31166152130366531</v>
      </c>
      <c r="F165" s="22">
        <v>635.71500199999991</v>
      </c>
      <c r="G165" s="24">
        <v>0.68833847869633469</v>
      </c>
    </row>
    <row r="166" spans="1:7" ht="17.5" x14ac:dyDescent="0.55000000000000004">
      <c r="A166" s="21" t="s">
        <v>37</v>
      </c>
      <c r="B166" s="21" t="s">
        <v>15</v>
      </c>
      <c r="C166" s="23">
        <v>2687.1</v>
      </c>
      <c r="D166" s="22">
        <v>352.13577699999996</v>
      </c>
      <c r="E166" s="24">
        <v>0.13104677049607383</v>
      </c>
      <c r="F166" s="22">
        <v>2334.9642229999999</v>
      </c>
      <c r="G166" s="24">
        <v>0.86895322950392617</v>
      </c>
    </row>
    <row r="167" spans="1:7" ht="17.5" x14ac:dyDescent="0.55000000000000004">
      <c r="A167" s="21" t="s">
        <v>38</v>
      </c>
      <c r="B167" s="21" t="s">
        <v>16</v>
      </c>
      <c r="C167" s="23">
        <v>34392.910000000003</v>
      </c>
      <c r="D167" s="22">
        <v>19712.953614000005</v>
      </c>
      <c r="E167" s="24">
        <v>0.57316910997063064</v>
      </c>
      <c r="F167" s="22">
        <v>14679.956386</v>
      </c>
      <c r="G167" s="24">
        <v>0.42683089002936936</v>
      </c>
    </row>
    <row r="168" spans="1:7" ht="17.5" x14ac:dyDescent="0.55000000000000004">
      <c r="A168" s="21" t="s">
        <v>38</v>
      </c>
      <c r="B168" s="21" t="s">
        <v>14</v>
      </c>
      <c r="C168" s="23">
        <v>10891.54</v>
      </c>
      <c r="D168" s="22">
        <v>1223.1955560000006</v>
      </c>
      <c r="E168" s="24">
        <v>0.11230694245258255</v>
      </c>
      <c r="F168" s="22">
        <v>9668.3444440000003</v>
      </c>
      <c r="G168" s="24">
        <v>0.88769305754741745</v>
      </c>
    </row>
    <row r="169" spans="1:7" ht="17.5" x14ac:dyDescent="0.55000000000000004">
      <c r="A169" s="21" t="s">
        <v>38</v>
      </c>
      <c r="B169" s="21" t="s">
        <v>19</v>
      </c>
      <c r="C169" s="23">
        <v>7655.89</v>
      </c>
      <c r="D169" s="22">
        <v>1190.3759409999993</v>
      </c>
      <c r="E169" s="24">
        <v>0.15548498489398355</v>
      </c>
      <c r="F169" s="22">
        <v>6465.514059000001</v>
      </c>
      <c r="G169" s="24">
        <v>0.84451501510601645</v>
      </c>
    </row>
    <row r="170" spans="1:7" ht="17.5" x14ac:dyDescent="0.55000000000000004">
      <c r="A170" s="21" t="s">
        <v>38</v>
      </c>
      <c r="B170" s="21" t="s">
        <v>15</v>
      </c>
      <c r="C170" s="23">
        <v>42197.03</v>
      </c>
      <c r="D170" s="22">
        <v>15896.552265999999</v>
      </c>
      <c r="E170" s="24">
        <v>0.37672206470455383</v>
      </c>
      <c r="F170" s="22">
        <v>26300.477734</v>
      </c>
      <c r="G170" s="24">
        <v>0.62327793529544617</v>
      </c>
    </row>
    <row r="171" spans="1:7" ht="17.5" x14ac:dyDescent="0.55000000000000004">
      <c r="A171" s="21" t="s">
        <v>77</v>
      </c>
      <c r="B171" s="21" t="s">
        <v>15</v>
      </c>
      <c r="C171" s="23">
        <v>448940.14419999998</v>
      </c>
      <c r="D171" s="22">
        <v>8085.1048029999947</v>
      </c>
      <c r="E171" s="24">
        <v>1.8009315734968334E-2</v>
      </c>
      <c r="F171" s="22">
        <v>440855.03939699999</v>
      </c>
      <c r="G171" s="24">
        <v>0.98199068426503167</v>
      </c>
    </row>
    <row r="172" spans="1:7" ht="17.5" x14ac:dyDescent="0.55000000000000004">
      <c r="A172" s="21" t="s">
        <v>119</v>
      </c>
      <c r="B172" s="21" t="s">
        <v>76</v>
      </c>
      <c r="C172" s="23">
        <v>14931.71</v>
      </c>
      <c r="D172" s="22">
        <v>14931.71</v>
      </c>
      <c r="E172" s="24">
        <v>1</v>
      </c>
      <c r="F172" s="22">
        <v>0</v>
      </c>
      <c r="G172" s="24">
        <v>0</v>
      </c>
    </row>
    <row r="173" spans="1:7" ht="17.5" x14ac:dyDescent="0.55000000000000004">
      <c r="A173" s="21" t="s">
        <v>119</v>
      </c>
      <c r="B173" s="21" t="s">
        <v>16</v>
      </c>
      <c r="C173" s="23">
        <v>8451.7199999999993</v>
      </c>
      <c r="D173" s="22">
        <v>8451.7199999999993</v>
      </c>
      <c r="E173" s="24">
        <v>1</v>
      </c>
      <c r="F173" s="22">
        <v>0</v>
      </c>
      <c r="G173" s="24">
        <v>0</v>
      </c>
    </row>
    <row r="174" spans="1:7" ht="17.5" x14ac:dyDescent="0.55000000000000004">
      <c r="A174" s="21" t="s">
        <v>119</v>
      </c>
      <c r="B174" s="21" t="s">
        <v>14</v>
      </c>
      <c r="C174" s="23">
        <v>6133.95</v>
      </c>
      <c r="D174" s="22">
        <v>1312.3630000000003</v>
      </c>
      <c r="E174" s="24">
        <v>0.21395071691161494</v>
      </c>
      <c r="F174" s="22">
        <v>4821.5869999999995</v>
      </c>
      <c r="G174" s="24">
        <v>0.78604928308838506</v>
      </c>
    </row>
    <row r="175" spans="1:7" ht="17.5" x14ac:dyDescent="0.55000000000000004">
      <c r="A175" s="21" t="s">
        <v>119</v>
      </c>
      <c r="B175" s="21" t="s">
        <v>13</v>
      </c>
      <c r="C175" s="23">
        <v>2889.59</v>
      </c>
      <c r="D175" s="22">
        <v>45.909000000000106</v>
      </c>
      <c r="E175" s="24">
        <v>1.5887721095380392E-2</v>
      </c>
      <c r="F175" s="22">
        <v>2843.681</v>
      </c>
      <c r="G175" s="24">
        <v>0.98411227890461961</v>
      </c>
    </row>
    <row r="176" spans="1:7" ht="17.5" x14ac:dyDescent="0.55000000000000004">
      <c r="A176" s="21" t="s">
        <v>119</v>
      </c>
      <c r="B176" s="21" t="s">
        <v>15</v>
      </c>
      <c r="C176" s="23">
        <v>6494.73</v>
      </c>
      <c r="D176" s="22">
        <v>1970.3109999999997</v>
      </c>
      <c r="E176" s="24">
        <v>0.30337073288650951</v>
      </c>
      <c r="F176" s="22">
        <v>4524.4189999999999</v>
      </c>
      <c r="G176" s="24">
        <v>0.69662926711349049</v>
      </c>
    </row>
    <row r="177" spans="1:7" ht="17.5" x14ac:dyDescent="0.55000000000000004">
      <c r="A177" s="21" t="s">
        <v>119</v>
      </c>
      <c r="B177" s="21" t="s">
        <v>81</v>
      </c>
      <c r="C177" s="23">
        <v>1948.4190000000001</v>
      </c>
      <c r="D177" s="22">
        <v>1905.9360000000001</v>
      </c>
      <c r="E177" s="24">
        <v>0.97819616827797307</v>
      </c>
      <c r="F177" s="22">
        <v>42.482999999999997</v>
      </c>
      <c r="G177" s="24">
        <v>2.1803831722026934E-2</v>
      </c>
    </row>
    <row r="178" spans="1:7" ht="17.5" x14ac:dyDescent="0.55000000000000004">
      <c r="A178" s="21" t="s">
        <v>39</v>
      </c>
      <c r="B178" s="21" t="s">
        <v>22</v>
      </c>
      <c r="C178" s="23">
        <v>174117.76268700001</v>
      </c>
      <c r="D178" s="22">
        <v>2308.0995310000435</v>
      </c>
      <c r="E178" s="24">
        <v>1.32559682331157E-2</v>
      </c>
      <c r="F178" s="22">
        <v>171809.66315599997</v>
      </c>
      <c r="G178" s="24">
        <v>0.9867440317668843</v>
      </c>
    </row>
    <row r="179" spans="1:7" ht="17.5" x14ac:dyDescent="0.55000000000000004">
      <c r="A179" s="21" t="s">
        <v>39</v>
      </c>
      <c r="B179" s="21" t="s">
        <v>76</v>
      </c>
      <c r="C179" s="23">
        <v>43093.461344999996</v>
      </c>
      <c r="D179" s="22">
        <v>25573.770552999998</v>
      </c>
      <c r="E179" s="24">
        <v>0.59344897705617339</v>
      </c>
      <c r="F179" s="22">
        <v>17519.690791999998</v>
      </c>
      <c r="G179" s="24">
        <v>0.40655102294382661</v>
      </c>
    </row>
    <row r="180" spans="1:7" ht="17.5" x14ac:dyDescent="0.55000000000000004">
      <c r="A180" s="21" t="s">
        <v>39</v>
      </c>
      <c r="B180" s="21" t="s">
        <v>14</v>
      </c>
      <c r="C180" s="23">
        <v>21645.550533000001</v>
      </c>
      <c r="D180" s="22">
        <v>4920.8585380000004</v>
      </c>
      <c r="E180" s="24">
        <v>0.22733810953423628</v>
      </c>
      <c r="F180" s="22">
        <v>16724.691995000001</v>
      </c>
      <c r="G180" s="24">
        <v>0.77266189046576372</v>
      </c>
    </row>
    <row r="181" spans="1:7" ht="17.5" x14ac:dyDescent="0.55000000000000004">
      <c r="A181" s="21" t="s">
        <v>39</v>
      </c>
      <c r="B181" s="21" t="s">
        <v>17</v>
      </c>
      <c r="C181" s="23">
        <v>17471.304762000003</v>
      </c>
      <c r="D181" s="22">
        <v>3293.8957700000028</v>
      </c>
      <c r="E181" s="24">
        <v>0.18853175620656615</v>
      </c>
      <c r="F181" s="22">
        <v>14177.408992000001</v>
      </c>
      <c r="G181" s="24">
        <v>0.81146824379343385</v>
      </c>
    </row>
    <row r="182" spans="1:7" ht="17.5" x14ac:dyDescent="0.55000000000000004">
      <c r="A182" s="21" t="s">
        <v>39</v>
      </c>
      <c r="B182" s="21" t="s">
        <v>16</v>
      </c>
      <c r="C182" s="23">
        <v>8072.85</v>
      </c>
      <c r="D182" s="22">
        <v>8072.85</v>
      </c>
      <c r="E182" s="24">
        <v>1</v>
      </c>
      <c r="F182" s="22">
        <v>0</v>
      </c>
      <c r="G182" s="24">
        <v>0</v>
      </c>
    </row>
    <row r="183" spans="1:7" ht="17.5" x14ac:dyDescent="0.55000000000000004">
      <c r="A183" s="21" t="s">
        <v>39</v>
      </c>
      <c r="B183" s="21" t="s">
        <v>15</v>
      </c>
      <c r="C183" s="23">
        <v>26283.669690999999</v>
      </c>
      <c r="D183" s="22">
        <v>8437.4342539999998</v>
      </c>
      <c r="E183" s="24">
        <v>0.32101431623488741</v>
      </c>
      <c r="F183" s="22">
        <v>17846.235436999999</v>
      </c>
      <c r="G183" s="24">
        <v>0.67898568376511259</v>
      </c>
    </row>
    <row r="184" spans="1:7" ht="17.5" x14ac:dyDescent="0.55000000000000004">
      <c r="A184" s="21" t="s">
        <v>39</v>
      </c>
      <c r="B184" s="21" t="s">
        <v>115</v>
      </c>
      <c r="C184" s="23">
        <v>6015.3720000000003</v>
      </c>
      <c r="D184" s="22">
        <v>5749.9417440000007</v>
      </c>
      <c r="E184" s="24">
        <v>0.9558746730875497</v>
      </c>
      <c r="F184" s="22">
        <v>265.43025599999999</v>
      </c>
      <c r="G184" s="24">
        <v>4.4125326912450295E-2</v>
      </c>
    </row>
    <row r="185" spans="1:7" ht="17.5" x14ac:dyDescent="0.55000000000000004">
      <c r="A185" s="21" t="s">
        <v>39</v>
      </c>
      <c r="B185" s="21" t="s">
        <v>85</v>
      </c>
      <c r="C185" s="23">
        <v>6015.3720000000003</v>
      </c>
      <c r="D185" s="22">
        <v>1505.7854000000007</v>
      </c>
      <c r="E185" s="24">
        <v>0.25032290604803831</v>
      </c>
      <c r="F185" s="22">
        <v>4509.5865999999996</v>
      </c>
      <c r="G185" s="24">
        <v>0.74967709395196169</v>
      </c>
    </row>
    <row r="186" spans="1:7" ht="17.5" x14ac:dyDescent="0.55000000000000004">
      <c r="A186" s="21" t="s">
        <v>39</v>
      </c>
      <c r="B186" s="21" t="s">
        <v>83</v>
      </c>
      <c r="C186" s="23">
        <v>6015.3720000000003</v>
      </c>
      <c r="D186" s="22">
        <v>849.52951900000062</v>
      </c>
      <c r="E186" s="24">
        <v>0.14122643105031585</v>
      </c>
      <c r="F186" s="22">
        <v>5165.8424809999997</v>
      </c>
      <c r="G186" s="24">
        <v>0.85877356894968415</v>
      </c>
    </row>
    <row r="187" spans="1:7" ht="17.5" x14ac:dyDescent="0.55000000000000004">
      <c r="A187" s="21" t="s">
        <v>40</v>
      </c>
      <c r="B187" s="21" t="s">
        <v>22</v>
      </c>
      <c r="C187" s="23">
        <v>148198.334944</v>
      </c>
      <c r="D187" s="22">
        <v>3833.6629299999913</v>
      </c>
      <c r="E187" s="24">
        <v>2.5868461554906297E-2</v>
      </c>
      <c r="F187" s="22">
        <v>144364.67201400001</v>
      </c>
      <c r="G187" s="24">
        <v>0.9741315384450937</v>
      </c>
    </row>
    <row r="188" spans="1:7" ht="17.5" x14ac:dyDescent="0.55000000000000004">
      <c r="A188" s="21" t="s">
        <v>40</v>
      </c>
      <c r="B188" s="21" t="s">
        <v>14</v>
      </c>
      <c r="C188" s="23">
        <v>99973.346103999997</v>
      </c>
      <c r="D188" s="22">
        <v>384.19254199998977</v>
      </c>
      <c r="E188" s="24">
        <v>3.8429497158204429E-3</v>
      </c>
      <c r="F188" s="22">
        <v>99589.153562000007</v>
      </c>
      <c r="G188" s="24">
        <v>0.99615705028417956</v>
      </c>
    </row>
    <row r="189" spans="1:7" ht="17.5" x14ac:dyDescent="0.55000000000000004">
      <c r="A189" s="21" t="s">
        <v>40</v>
      </c>
      <c r="B189" s="21" t="s">
        <v>16</v>
      </c>
      <c r="C189" s="23">
        <v>75484.430221000002</v>
      </c>
      <c r="D189" s="22">
        <v>4316.6616540000105</v>
      </c>
      <c r="E189" s="24">
        <v>5.7186119592634865E-2</v>
      </c>
      <c r="F189" s="22">
        <v>71167.768566999992</v>
      </c>
      <c r="G189" s="24">
        <v>0.94281388040736513</v>
      </c>
    </row>
    <row r="190" spans="1:7" ht="17.5" x14ac:dyDescent="0.55000000000000004">
      <c r="A190" s="21" t="s">
        <v>40</v>
      </c>
      <c r="B190" s="21" t="s">
        <v>15</v>
      </c>
      <c r="C190" s="23">
        <v>99787.821977</v>
      </c>
      <c r="D190" s="22">
        <v>4088.3269270000019</v>
      </c>
      <c r="E190" s="24">
        <v>4.0970199028317444E-2</v>
      </c>
      <c r="F190" s="22">
        <v>95699.495049999998</v>
      </c>
      <c r="G190" s="24">
        <v>0.95902980097168256</v>
      </c>
    </row>
    <row r="191" spans="1:7" ht="17.5" x14ac:dyDescent="0.55000000000000004">
      <c r="A191" s="21" t="s">
        <v>41</v>
      </c>
      <c r="B191" s="21" t="s">
        <v>16</v>
      </c>
      <c r="C191" s="23">
        <v>150361.05781</v>
      </c>
      <c r="D191" s="22">
        <v>33402.626321999996</v>
      </c>
      <c r="E191" s="24">
        <v>0.22214945018681898</v>
      </c>
      <c r="F191" s="22">
        <v>116958.431488</v>
      </c>
      <c r="G191" s="24">
        <v>0.77785054981318102</v>
      </c>
    </row>
    <row r="192" spans="1:7" ht="17.5" x14ac:dyDescent="0.55000000000000004">
      <c r="A192" s="21" t="s">
        <v>41</v>
      </c>
      <c r="B192" s="21" t="s">
        <v>76</v>
      </c>
      <c r="C192" s="23">
        <v>73576.584036</v>
      </c>
      <c r="D192" s="22">
        <v>24122.056540000005</v>
      </c>
      <c r="E192" s="24">
        <v>0.32784963933902422</v>
      </c>
      <c r="F192" s="22">
        <v>49454.527495999995</v>
      </c>
      <c r="G192" s="24">
        <v>0.67215036066097578</v>
      </c>
    </row>
    <row r="193" spans="1:7" ht="17.5" x14ac:dyDescent="0.55000000000000004">
      <c r="A193" s="21" t="s">
        <v>41</v>
      </c>
      <c r="B193" s="21" t="s">
        <v>15</v>
      </c>
      <c r="C193" s="23">
        <v>162625.08561399998</v>
      </c>
      <c r="D193" s="22">
        <v>7059.1392040000064</v>
      </c>
      <c r="E193" s="24">
        <v>4.3407443429455128E-2</v>
      </c>
      <c r="F193" s="22">
        <v>155565.94640999998</v>
      </c>
      <c r="G193" s="24">
        <v>0.95659255657054487</v>
      </c>
    </row>
    <row r="194" spans="1:7" ht="17.5" x14ac:dyDescent="0.55000000000000004">
      <c r="A194" s="21" t="s">
        <v>73</v>
      </c>
      <c r="B194" s="21" t="s">
        <v>74</v>
      </c>
      <c r="C194" s="23">
        <v>3185719</v>
      </c>
      <c r="D194" s="22">
        <v>2194770.6349999998</v>
      </c>
      <c r="E194" s="24">
        <v>0.6889404354244677</v>
      </c>
      <c r="F194" s="22">
        <v>990948.36499999999</v>
      </c>
      <c r="G194" s="24">
        <v>0.31105956457553224</v>
      </c>
    </row>
  </sheetData>
  <sheetProtection sheet="1" selectLockedCells="1" sort="0" autoFilter="0" pivotTables="0"/>
  <protectedRanges>
    <protectedRange sqref="A15:G194" name="Range1"/>
  </protectedRanges>
  <mergeCells count="1">
    <mergeCell ref="D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77FC3-C41E-4C3F-8791-BAE4616981AD}">
  <dimension ref="A1:G70"/>
  <sheetViews>
    <sheetView showGridLines="0" zoomScale="80" zoomScaleNormal="80" workbookViewId="0">
      <selection activeCell="A15" sqref="A15"/>
    </sheetView>
  </sheetViews>
  <sheetFormatPr defaultColWidth="9.1796875" defaultRowHeight="16.5" x14ac:dyDescent="0.55000000000000004"/>
  <cols>
    <col min="1" max="1" width="64.1796875" style="1" customWidth="1"/>
    <col min="2" max="2" width="22.54296875" style="1" customWidth="1"/>
    <col min="3" max="3" width="17.7265625" style="1" customWidth="1"/>
    <col min="4" max="4" width="17.26953125" style="1" customWidth="1"/>
    <col min="5" max="5" width="18.81640625" style="1" customWidth="1"/>
    <col min="6" max="6" width="19" style="1" customWidth="1"/>
    <col min="7" max="7" width="19.26953125" style="1" customWidth="1"/>
    <col min="8" max="16384" width="9.1796875" style="1"/>
  </cols>
  <sheetData>
    <row r="1" spans="1:7" ht="54.75" customHeight="1" x14ac:dyDescent="1.35">
      <c r="A1" s="25" t="s">
        <v>48</v>
      </c>
      <c r="B1" s="4"/>
      <c r="C1" s="5"/>
      <c r="D1" s="5"/>
      <c r="E1" s="5"/>
      <c r="F1" s="6"/>
      <c r="G1" s="5"/>
    </row>
    <row r="2" spans="1:7" ht="20.149999999999999" customHeight="1" x14ac:dyDescent="0.8">
      <c r="A2" s="7" t="s">
        <v>109</v>
      </c>
      <c r="B2" s="7"/>
      <c r="C2" s="5"/>
      <c r="D2" s="5"/>
      <c r="E2" s="5"/>
      <c r="F2" s="5"/>
      <c r="G2" s="5"/>
    </row>
    <row r="3" spans="1:7" ht="20.149999999999999" customHeight="1" x14ac:dyDescent="0.8">
      <c r="A3" s="7" t="s">
        <v>121</v>
      </c>
      <c r="B3" s="7"/>
      <c r="C3" s="5"/>
      <c r="D3" s="5"/>
      <c r="E3" s="5"/>
      <c r="F3" s="5"/>
      <c r="G3" s="5"/>
    </row>
    <row r="4" spans="1:7" ht="20.149999999999999" customHeight="1" x14ac:dyDescent="0.8">
      <c r="A4" s="6"/>
      <c r="B4" s="7"/>
      <c r="C4" s="5"/>
      <c r="D4" s="5"/>
      <c r="E4" s="5"/>
      <c r="F4" s="5"/>
      <c r="G4" s="5"/>
    </row>
    <row r="5" spans="1:7" ht="24" customHeight="1" x14ac:dyDescent="0.8">
      <c r="A5" s="12"/>
      <c r="B5" s="3"/>
      <c r="E5" s="27" t="s">
        <v>122</v>
      </c>
      <c r="F5" s="27"/>
      <c r="G5" s="27"/>
    </row>
    <row r="6" spans="1:7" ht="24" customHeight="1" x14ac:dyDescent="0.8">
      <c r="A6" s="2"/>
      <c r="B6" s="3"/>
      <c r="E6" s="27"/>
      <c r="F6" s="27"/>
      <c r="G6" s="27"/>
    </row>
    <row r="7" spans="1:7" ht="24" customHeight="1" x14ac:dyDescent="0.8">
      <c r="A7" s="2"/>
      <c r="B7" s="3"/>
      <c r="E7" s="27"/>
      <c r="F7" s="27"/>
      <c r="G7" s="27"/>
    </row>
    <row r="8" spans="1:7" ht="24" x14ac:dyDescent="0.8">
      <c r="A8" s="2"/>
      <c r="B8" s="3"/>
      <c r="E8" s="27"/>
      <c r="F8" s="27"/>
      <c r="G8" s="27"/>
    </row>
    <row r="9" spans="1:7" ht="24" x14ac:dyDescent="0.8">
      <c r="A9" s="2"/>
      <c r="B9" s="3"/>
      <c r="E9" s="27"/>
      <c r="F9" s="27"/>
      <c r="G9" s="27"/>
    </row>
    <row r="10" spans="1:7" ht="24" x14ac:dyDescent="0.8">
      <c r="A10" s="2"/>
      <c r="B10" s="3"/>
      <c r="E10" s="27"/>
      <c r="F10" s="27"/>
      <c r="G10" s="27"/>
    </row>
    <row r="11" spans="1:7" ht="24" x14ac:dyDescent="0.8">
      <c r="A11" s="2"/>
      <c r="B11" s="3"/>
      <c r="E11" s="27"/>
      <c r="F11" s="27"/>
      <c r="G11" s="27"/>
    </row>
    <row r="12" spans="1:7" ht="24" x14ac:dyDescent="0.8">
      <c r="A12" s="2"/>
      <c r="B12" s="3"/>
      <c r="E12" s="27"/>
      <c r="F12" s="27"/>
      <c r="G12" s="27"/>
    </row>
    <row r="13" spans="1:7" ht="24" x14ac:dyDescent="0.8">
      <c r="A13" s="2"/>
      <c r="B13" s="3"/>
      <c r="E13" s="27"/>
      <c r="F13" s="27"/>
      <c r="G13" s="27"/>
    </row>
    <row r="14" spans="1:7" ht="24" x14ac:dyDescent="0.8">
      <c r="A14" s="2"/>
      <c r="B14" s="3"/>
      <c r="E14" s="27"/>
      <c r="F14" s="27"/>
      <c r="G14" s="27"/>
    </row>
    <row r="15" spans="1:7" ht="48.65" customHeight="1" x14ac:dyDescent="0.55000000000000004">
      <c r="A15" s="17" t="s">
        <v>0</v>
      </c>
      <c r="B15" s="13" t="s">
        <v>9</v>
      </c>
      <c r="C15" s="18" t="s">
        <v>50</v>
      </c>
      <c r="D15" s="18" t="s">
        <v>68</v>
      </c>
      <c r="E15" s="18" t="s">
        <v>3</v>
      </c>
      <c r="F15" s="18" t="s">
        <v>1</v>
      </c>
      <c r="G15" s="18" t="s">
        <v>2</v>
      </c>
    </row>
    <row r="16" spans="1:7" ht="17.5" x14ac:dyDescent="0.55000000000000004">
      <c r="A16" s="14" t="s">
        <v>104</v>
      </c>
      <c r="B16" s="14" t="s">
        <v>51</v>
      </c>
      <c r="C16" s="22">
        <v>284923.03896600002</v>
      </c>
      <c r="D16" s="22">
        <v>50198.590238000033</v>
      </c>
      <c r="E16" s="15">
        <v>0.17618298056967674</v>
      </c>
      <c r="F16" s="22">
        <v>234724.44872799999</v>
      </c>
      <c r="G16" s="15">
        <v>0.82381701943032326</v>
      </c>
    </row>
    <row r="17" spans="1:7" ht="17.5" x14ac:dyDescent="0.55000000000000004">
      <c r="A17" s="14" t="s">
        <v>104</v>
      </c>
      <c r="B17" s="14" t="s">
        <v>11</v>
      </c>
      <c r="C17" s="22">
        <v>54579.893821999998</v>
      </c>
      <c r="D17" s="22">
        <v>1229.1726429999981</v>
      </c>
      <c r="E17" s="15">
        <v>2.2520612572253573E-2</v>
      </c>
      <c r="F17" s="22">
        <v>53350.721179</v>
      </c>
      <c r="G17" s="15">
        <v>0.97747938742774643</v>
      </c>
    </row>
    <row r="18" spans="1:7" ht="17.5" x14ac:dyDescent="0.55000000000000004">
      <c r="A18" s="14" t="s">
        <v>104</v>
      </c>
      <c r="B18" s="14" t="s">
        <v>17</v>
      </c>
      <c r="C18" s="22">
        <v>26079.613000000001</v>
      </c>
      <c r="D18" s="22">
        <v>4227.773000000001</v>
      </c>
      <c r="E18" s="15">
        <v>0.16211026597672296</v>
      </c>
      <c r="F18" s="22">
        <v>21851.84</v>
      </c>
      <c r="G18" s="15">
        <v>0.83788973402327704</v>
      </c>
    </row>
    <row r="19" spans="1:7" ht="17.5" x14ac:dyDescent="0.55000000000000004">
      <c r="A19" s="14" t="s">
        <v>104</v>
      </c>
      <c r="B19" s="14" t="s">
        <v>52</v>
      </c>
      <c r="C19" s="22">
        <v>51766.394171000007</v>
      </c>
      <c r="D19" s="22">
        <v>4975.4872640000103</v>
      </c>
      <c r="E19" s="15">
        <v>9.6114232866296945E-2</v>
      </c>
      <c r="F19" s="22">
        <v>46790.906906999997</v>
      </c>
      <c r="G19" s="15">
        <v>0.90388576713370306</v>
      </c>
    </row>
    <row r="20" spans="1:7" ht="17.5" x14ac:dyDescent="0.55000000000000004">
      <c r="A20" s="14" t="s">
        <v>105</v>
      </c>
      <c r="B20" s="14" t="s">
        <v>52</v>
      </c>
      <c r="C20" s="22">
        <v>1420807.362</v>
      </c>
      <c r="D20" s="22">
        <v>103002.35800000001</v>
      </c>
      <c r="E20" s="15">
        <v>7.2495653355152068E-2</v>
      </c>
      <c r="F20" s="22">
        <v>1317805.004</v>
      </c>
      <c r="G20" s="15">
        <v>0.92750434664484793</v>
      </c>
    </row>
    <row r="21" spans="1:7" ht="17.5" x14ac:dyDescent="0.55000000000000004">
      <c r="A21" s="14" t="s">
        <v>53</v>
      </c>
      <c r="B21" s="14" t="s">
        <v>51</v>
      </c>
      <c r="C21" s="22">
        <v>906001.61023400002</v>
      </c>
      <c r="D21" s="22">
        <v>62919.773018000065</v>
      </c>
      <c r="E21" s="15">
        <v>6.9447749658799518E-2</v>
      </c>
      <c r="F21" s="22">
        <v>843081.83721599996</v>
      </c>
      <c r="G21" s="15">
        <v>0.93055225034120048</v>
      </c>
    </row>
    <row r="22" spans="1:7" ht="17.5" x14ac:dyDescent="0.55000000000000004">
      <c r="A22" s="14" t="s">
        <v>53</v>
      </c>
      <c r="B22" s="14" t="s">
        <v>17</v>
      </c>
      <c r="C22" s="22">
        <v>91709.225999999995</v>
      </c>
      <c r="D22" s="22">
        <v>9354.7399999999907</v>
      </c>
      <c r="E22" s="15">
        <v>0.10200435014030096</v>
      </c>
      <c r="F22" s="22">
        <v>82354.486000000004</v>
      </c>
      <c r="G22" s="15">
        <v>0.89799564985969904</v>
      </c>
    </row>
    <row r="23" spans="1:7" ht="17.5" x14ac:dyDescent="0.55000000000000004">
      <c r="A23" s="14" t="s">
        <v>53</v>
      </c>
      <c r="B23" s="14" t="s">
        <v>12</v>
      </c>
      <c r="C23" s="22">
        <v>32188.480642000002</v>
      </c>
      <c r="D23" s="22">
        <v>3084.5960000000014</v>
      </c>
      <c r="E23" s="15">
        <v>9.5829189153313954E-2</v>
      </c>
      <c r="F23" s="22">
        <v>29103.884642000001</v>
      </c>
      <c r="G23" s="15">
        <v>0.90417081084668605</v>
      </c>
    </row>
    <row r="24" spans="1:7" ht="17.5" x14ac:dyDescent="0.55000000000000004">
      <c r="A24" s="14" t="s">
        <v>53</v>
      </c>
      <c r="B24" s="14" t="s">
        <v>11</v>
      </c>
      <c r="C24" s="22">
        <v>97551.994332000002</v>
      </c>
      <c r="D24" s="22">
        <v>10.182641000006697</v>
      </c>
      <c r="E24" s="15">
        <v>1.0438167942883325E-4</v>
      </c>
      <c r="F24" s="22">
        <v>97541.811690999995</v>
      </c>
      <c r="G24" s="15">
        <v>0.99989561832057117</v>
      </c>
    </row>
    <row r="25" spans="1:7" ht="17.5" x14ac:dyDescent="0.55000000000000004">
      <c r="A25" s="14" t="s">
        <v>53</v>
      </c>
      <c r="B25" s="14" t="s">
        <v>52</v>
      </c>
      <c r="C25" s="22">
        <v>87702.873242999995</v>
      </c>
      <c r="D25" s="22">
        <v>76803.222836999994</v>
      </c>
      <c r="E25" s="15">
        <v>0.87572071469311918</v>
      </c>
      <c r="F25" s="22">
        <v>10899.650405999999</v>
      </c>
      <c r="G25" s="15">
        <v>0.1242792853068808</v>
      </c>
    </row>
    <row r="26" spans="1:7" ht="17.5" x14ac:dyDescent="0.55000000000000004">
      <c r="A26" s="14" t="s">
        <v>54</v>
      </c>
      <c r="B26" s="14" t="s">
        <v>51</v>
      </c>
      <c r="C26" s="22">
        <v>83660.985287999996</v>
      </c>
      <c r="D26" s="22">
        <v>7515.2565639999957</v>
      </c>
      <c r="E26" s="15">
        <v>8.982988352490695E-2</v>
      </c>
      <c r="F26" s="22">
        <v>76145.728724000001</v>
      </c>
      <c r="G26" s="15">
        <v>0.91017011647509305</v>
      </c>
    </row>
    <row r="27" spans="1:7" ht="17.5" x14ac:dyDescent="0.55000000000000004">
      <c r="A27" s="14" t="s">
        <v>54</v>
      </c>
      <c r="B27" s="14" t="s">
        <v>86</v>
      </c>
      <c r="C27" s="22">
        <v>14733.424800000001</v>
      </c>
      <c r="D27" s="22">
        <v>14252.104000000001</v>
      </c>
      <c r="E27" s="15">
        <v>0.96733137023239835</v>
      </c>
      <c r="F27" s="22">
        <v>481.32079999999996</v>
      </c>
      <c r="G27" s="15">
        <v>3.2668629767601619E-2</v>
      </c>
    </row>
    <row r="28" spans="1:7" ht="17.5" x14ac:dyDescent="0.55000000000000004">
      <c r="A28" s="14" t="s">
        <v>54</v>
      </c>
      <c r="B28" s="14" t="s">
        <v>52</v>
      </c>
      <c r="C28" s="22">
        <v>2202</v>
      </c>
      <c r="D28" s="22">
        <v>1909.692123</v>
      </c>
      <c r="E28" s="15">
        <v>0.86725346185286112</v>
      </c>
      <c r="F28" s="22">
        <v>292.30787699999996</v>
      </c>
      <c r="G28" s="15">
        <v>0.13274653814713894</v>
      </c>
    </row>
    <row r="29" spans="1:7" ht="17.5" x14ac:dyDescent="0.55000000000000004">
      <c r="A29" s="14" t="s">
        <v>18</v>
      </c>
      <c r="B29" s="14" t="s">
        <v>51</v>
      </c>
      <c r="C29" s="22">
        <v>116968.065833</v>
      </c>
      <c r="D29" s="22">
        <v>1722.5671539999894</v>
      </c>
      <c r="E29" s="15">
        <v>1.4726815748662303E-2</v>
      </c>
      <c r="F29" s="22">
        <v>115245.49867900001</v>
      </c>
      <c r="G29" s="15">
        <v>0.9852731842513377</v>
      </c>
    </row>
    <row r="30" spans="1:7" ht="17.5" x14ac:dyDescent="0.55000000000000004">
      <c r="A30" s="14" t="s">
        <v>18</v>
      </c>
      <c r="B30" s="14" t="s">
        <v>16</v>
      </c>
      <c r="C30" s="22">
        <v>8401.9137569999984</v>
      </c>
      <c r="D30" s="22">
        <v>4626.2695329999988</v>
      </c>
      <c r="E30" s="15">
        <v>0.5506209259938728</v>
      </c>
      <c r="F30" s="22">
        <v>3775.6442240000001</v>
      </c>
      <c r="G30" s="15">
        <v>0.44937907400612714</v>
      </c>
    </row>
    <row r="31" spans="1:7" ht="17.5" x14ac:dyDescent="0.55000000000000004">
      <c r="A31" s="14" t="s">
        <v>18</v>
      </c>
      <c r="B31" s="14" t="s">
        <v>86</v>
      </c>
      <c r="C31" s="22">
        <v>9283.0130000000008</v>
      </c>
      <c r="D31" s="22">
        <v>0</v>
      </c>
      <c r="E31" s="15">
        <v>0</v>
      </c>
      <c r="F31" s="22">
        <v>9283.0130000000008</v>
      </c>
      <c r="G31" s="15">
        <v>1</v>
      </c>
    </row>
    <row r="32" spans="1:7" ht="17.5" x14ac:dyDescent="0.55000000000000004">
      <c r="A32" s="14" t="s">
        <v>18</v>
      </c>
      <c r="B32" s="14" t="s">
        <v>17</v>
      </c>
      <c r="C32" s="22">
        <v>9696.4789999999994</v>
      </c>
      <c r="D32" s="22">
        <v>16.244999999998981</v>
      </c>
      <c r="E32" s="15">
        <v>1.6753504029657362E-3</v>
      </c>
      <c r="F32" s="22">
        <v>9680.2340000000004</v>
      </c>
      <c r="G32" s="15">
        <v>0.99832464959703426</v>
      </c>
    </row>
    <row r="33" spans="1:7" ht="17.5" x14ac:dyDescent="0.55000000000000004">
      <c r="A33" s="14" t="s">
        <v>18</v>
      </c>
      <c r="B33" s="14" t="s">
        <v>52</v>
      </c>
      <c r="C33" s="22">
        <v>2608.2632709999998</v>
      </c>
      <c r="D33" s="22">
        <v>500.04699999999957</v>
      </c>
      <c r="E33" s="15">
        <v>0.19171645959201167</v>
      </c>
      <c r="F33" s="22">
        <v>2108.2162710000002</v>
      </c>
      <c r="G33" s="15">
        <v>0.80828354040798833</v>
      </c>
    </row>
    <row r="34" spans="1:7" ht="17.5" x14ac:dyDescent="0.55000000000000004">
      <c r="A34" s="14" t="s">
        <v>55</v>
      </c>
      <c r="B34" s="14" t="s">
        <v>51</v>
      </c>
      <c r="C34" s="22">
        <v>133276.64008700001</v>
      </c>
      <c r="D34" s="22">
        <v>38515.305597000013</v>
      </c>
      <c r="E34" s="15">
        <v>0.28898766934594156</v>
      </c>
      <c r="F34" s="22">
        <v>94761.334489999994</v>
      </c>
      <c r="G34" s="15">
        <v>0.71101233065405844</v>
      </c>
    </row>
    <row r="35" spans="1:7" ht="17.5" x14ac:dyDescent="0.55000000000000004">
      <c r="A35" s="14" t="s">
        <v>55</v>
      </c>
      <c r="B35" s="14" t="s">
        <v>52</v>
      </c>
      <c r="C35" s="22">
        <v>50723.331693</v>
      </c>
      <c r="D35" s="22">
        <v>4557.4070360000042</v>
      </c>
      <c r="E35" s="15">
        <v>8.9848337715342619E-2</v>
      </c>
      <c r="F35" s="22">
        <v>46165.924656999996</v>
      </c>
      <c r="G35" s="15">
        <v>0.91015166228465738</v>
      </c>
    </row>
    <row r="36" spans="1:7" ht="17.5" x14ac:dyDescent="0.55000000000000004">
      <c r="A36" s="14" t="s">
        <v>56</v>
      </c>
      <c r="B36" s="14" t="s">
        <v>51</v>
      </c>
      <c r="C36" s="22">
        <v>42738.676562000001</v>
      </c>
      <c r="D36" s="22">
        <v>8082.6019939999969</v>
      </c>
      <c r="E36" s="15">
        <v>0.18911680576432344</v>
      </c>
      <c r="F36" s="22">
        <v>34656.074568000004</v>
      </c>
      <c r="G36" s="15">
        <v>0.81088319423567656</v>
      </c>
    </row>
    <row r="37" spans="1:7" ht="17.5" x14ac:dyDescent="0.55000000000000004">
      <c r="A37" s="14" t="s">
        <v>56</v>
      </c>
      <c r="B37" s="14" t="s">
        <v>52</v>
      </c>
      <c r="C37" s="22">
        <v>14998.684207</v>
      </c>
      <c r="D37" s="22">
        <v>146.94021799999973</v>
      </c>
      <c r="E37" s="15">
        <v>9.7968739105408487E-3</v>
      </c>
      <c r="F37" s="22">
        <v>14851.743989000001</v>
      </c>
      <c r="G37" s="15">
        <v>0.99020312608945915</v>
      </c>
    </row>
    <row r="38" spans="1:7" ht="17.5" x14ac:dyDescent="0.55000000000000004">
      <c r="A38" s="14" t="s">
        <v>57</v>
      </c>
      <c r="B38" s="14" t="s">
        <v>51</v>
      </c>
      <c r="C38" s="22">
        <v>67902.471798999992</v>
      </c>
      <c r="D38" s="22">
        <v>11248.124891999993</v>
      </c>
      <c r="E38" s="15">
        <v>0.16565118461807815</v>
      </c>
      <c r="F38" s="22">
        <v>56654.346906999999</v>
      </c>
      <c r="G38" s="15">
        <v>0.83434881538192185</v>
      </c>
    </row>
    <row r="39" spans="1:7" ht="17.5" x14ac:dyDescent="0.55000000000000004">
      <c r="A39" s="14" t="s">
        <v>57</v>
      </c>
      <c r="B39" s="14" t="s">
        <v>11</v>
      </c>
      <c r="C39" s="22">
        <v>13200.680326</v>
      </c>
      <c r="D39" s="22">
        <v>8697.2639999999992</v>
      </c>
      <c r="E39" s="15">
        <v>0.65884967935098826</v>
      </c>
      <c r="F39" s="22">
        <v>4503.4163260000005</v>
      </c>
      <c r="G39" s="15">
        <v>0.34115032064901174</v>
      </c>
    </row>
    <row r="40" spans="1:7" ht="17.5" x14ac:dyDescent="0.55000000000000004">
      <c r="A40" s="14" t="s">
        <v>57</v>
      </c>
      <c r="B40" s="14" t="s">
        <v>52</v>
      </c>
      <c r="C40" s="22">
        <v>25895.69371</v>
      </c>
      <c r="D40" s="22">
        <v>418.20559499999945</v>
      </c>
      <c r="E40" s="15">
        <v>1.6149619302861296E-2</v>
      </c>
      <c r="F40" s="22">
        <v>25477.488115</v>
      </c>
      <c r="G40" s="15">
        <v>0.9838503806971387</v>
      </c>
    </row>
    <row r="41" spans="1:7" ht="17.5" x14ac:dyDescent="0.55000000000000004">
      <c r="A41" s="14" t="s">
        <v>23</v>
      </c>
      <c r="B41" s="14" t="s">
        <v>51</v>
      </c>
      <c r="C41" s="22">
        <v>157598.744511</v>
      </c>
      <c r="D41" s="22">
        <v>16335.139047000004</v>
      </c>
      <c r="E41" s="15">
        <v>0.10365018514382807</v>
      </c>
      <c r="F41" s="22">
        <v>141263.60546399999</v>
      </c>
      <c r="G41" s="15">
        <v>0.89634981485617193</v>
      </c>
    </row>
    <row r="42" spans="1:7" ht="17.5" x14ac:dyDescent="0.55000000000000004">
      <c r="A42" s="14" t="s">
        <v>23</v>
      </c>
      <c r="B42" s="14" t="s">
        <v>11</v>
      </c>
      <c r="C42" s="22">
        <v>55775.067000000003</v>
      </c>
      <c r="D42" s="22">
        <v>19279.490000000005</v>
      </c>
      <c r="E42" s="15">
        <v>0.34566502627419526</v>
      </c>
      <c r="F42" s="22">
        <v>36495.576999999997</v>
      </c>
      <c r="G42" s="15">
        <v>0.65433497372580474</v>
      </c>
    </row>
    <row r="43" spans="1:7" ht="17.5" x14ac:dyDescent="0.55000000000000004">
      <c r="A43" s="14" t="s">
        <v>23</v>
      </c>
      <c r="B43" s="14" t="s">
        <v>52</v>
      </c>
      <c r="C43" s="22">
        <v>23753.676662000002</v>
      </c>
      <c r="D43" s="22">
        <v>19599.226000000002</v>
      </c>
      <c r="E43" s="15">
        <v>0.82510283687383468</v>
      </c>
      <c r="F43" s="22">
        <v>4154.4506620000002</v>
      </c>
      <c r="G43" s="15">
        <v>0.17489716312616532</v>
      </c>
    </row>
    <row r="44" spans="1:7" ht="17.5" x14ac:dyDescent="0.55000000000000004">
      <c r="A44" s="14" t="s">
        <v>58</v>
      </c>
      <c r="B44" s="14" t="s">
        <v>51</v>
      </c>
      <c r="C44" s="22">
        <v>114576.86145700001</v>
      </c>
      <c r="D44" s="22">
        <v>23554.025236000001</v>
      </c>
      <c r="E44" s="15">
        <v>0.20557401325606817</v>
      </c>
      <c r="F44" s="22">
        <v>91022.836221000005</v>
      </c>
      <c r="G44" s="15">
        <v>0.79442598674393183</v>
      </c>
    </row>
    <row r="45" spans="1:7" ht="17.5" x14ac:dyDescent="0.55000000000000004">
      <c r="A45" s="14" t="s">
        <v>58</v>
      </c>
      <c r="B45" s="14" t="s">
        <v>52</v>
      </c>
      <c r="C45" s="22">
        <v>3397.026922</v>
      </c>
      <c r="D45" s="22">
        <v>2892.0639999999999</v>
      </c>
      <c r="E45" s="15">
        <v>0.85135151013089316</v>
      </c>
      <c r="F45" s="22">
        <v>504.96292200000005</v>
      </c>
      <c r="G45" s="15">
        <v>0.14864848986910681</v>
      </c>
    </row>
    <row r="46" spans="1:7" ht="17.5" x14ac:dyDescent="0.55000000000000004">
      <c r="A46" s="14" t="s">
        <v>87</v>
      </c>
      <c r="B46" s="14" t="s">
        <v>51</v>
      </c>
      <c r="C46" s="22">
        <v>319573.46809099999</v>
      </c>
      <c r="D46" s="22">
        <v>38664.746526999981</v>
      </c>
      <c r="E46" s="15">
        <v>0.12098860007987278</v>
      </c>
      <c r="F46" s="22">
        <v>280908.72156400001</v>
      </c>
      <c r="G46" s="15">
        <v>0.87901139992012722</v>
      </c>
    </row>
    <row r="47" spans="1:7" ht="17.5" x14ac:dyDescent="0.55000000000000004">
      <c r="A47" s="14" t="s">
        <v>87</v>
      </c>
      <c r="B47" s="14" t="s">
        <v>52</v>
      </c>
      <c r="C47" s="22">
        <v>17542</v>
      </c>
      <c r="D47" s="22">
        <v>7873.0032520000004</v>
      </c>
      <c r="E47" s="15">
        <v>0.44880875909246387</v>
      </c>
      <c r="F47" s="22">
        <v>9668.9967479999996</v>
      </c>
      <c r="G47" s="15">
        <v>0.55119124090753613</v>
      </c>
    </row>
    <row r="48" spans="1:7" ht="17.5" x14ac:dyDescent="0.55000000000000004">
      <c r="A48" s="14" t="s">
        <v>33</v>
      </c>
      <c r="B48" s="14" t="s">
        <v>51</v>
      </c>
      <c r="C48" s="22">
        <v>8988.0214609999985</v>
      </c>
      <c r="D48" s="22">
        <v>4605.4013819999982</v>
      </c>
      <c r="E48" s="15">
        <v>0.51239323381495416</v>
      </c>
      <c r="F48" s="22">
        <v>4382.6200790000003</v>
      </c>
      <c r="G48" s="15">
        <v>0.48760676618504584</v>
      </c>
    </row>
    <row r="49" spans="1:7" ht="17.5" x14ac:dyDescent="0.55000000000000004">
      <c r="A49" s="14" t="s">
        <v>33</v>
      </c>
      <c r="B49" s="14" t="s">
        <v>52</v>
      </c>
      <c r="C49" s="22">
        <v>559</v>
      </c>
      <c r="D49" s="22">
        <v>0</v>
      </c>
      <c r="E49" s="15">
        <v>0</v>
      </c>
      <c r="F49" s="22">
        <v>559</v>
      </c>
      <c r="G49" s="15">
        <v>1</v>
      </c>
    </row>
    <row r="50" spans="1:7" ht="17.5" x14ac:dyDescent="0.55000000000000004">
      <c r="A50" s="14" t="s">
        <v>34</v>
      </c>
      <c r="B50" s="14" t="s">
        <v>51</v>
      </c>
      <c r="C50" s="22">
        <v>15256.555579</v>
      </c>
      <c r="D50" s="22">
        <v>1507.6982439999992</v>
      </c>
      <c r="E50" s="15">
        <v>9.8822977191213579E-2</v>
      </c>
      <c r="F50" s="22">
        <v>13748.857335000001</v>
      </c>
      <c r="G50" s="15">
        <v>0.90117702280878642</v>
      </c>
    </row>
    <row r="51" spans="1:7" ht="17.5" x14ac:dyDescent="0.55000000000000004">
      <c r="A51" s="14" t="s">
        <v>34</v>
      </c>
      <c r="B51" s="14" t="s">
        <v>12</v>
      </c>
      <c r="C51" s="22">
        <v>5329.9174999999996</v>
      </c>
      <c r="D51" s="22">
        <v>1728.2285999999995</v>
      </c>
      <c r="E51" s="15">
        <v>0.32425053483473232</v>
      </c>
      <c r="F51" s="22">
        <v>3601.6889000000001</v>
      </c>
      <c r="G51" s="15">
        <v>0.67574946516526768</v>
      </c>
    </row>
    <row r="52" spans="1:7" ht="17.5" x14ac:dyDescent="0.55000000000000004">
      <c r="A52" s="14" t="s">
        <v>34</v>
      </c>
      <c r="B52" s="14" t="s">
        <v>32</v>
      </c>
      <c r="C52" s="22">
        <v>8179.7102249999998</v>
      </c>
      <c r="D52" s="22">
        <v>133.8100000000004</v>
      </c>
      <c r="E52" s="15">
        <v>1.6358770215481599E-2</v>
      </c>
      <c r="F52" s="22">
        <v>8045.9002249999994</v>
      </c>
      <c r="G52" s="15">
        <v>0.9836412297845184</v>
      </c>
    </row>
    <row r="53" spans="1:7" ht="17.5" x14ac:dyDescent="0.55000000000000004">
      <c r="A53" s="14" t="s">
        <v>34</v>
      </c>
      <c r="B53" s="14" t="s">
        <v>11</v>
      </c>
      <c r="C53" s="22">
        <v>36649.919907999996</v>
      </c>
      <c r="D53" s="22">
        <v>6863.4879999999976</v>
      </c>
      <c r="E53" s="15">
        <v>0.18727156886642538</v>
      </c>
      <c r="F53" s="22">
        <v>29786.431907999999</v>
      </c>
      <c r="G53" s="15">
        <v>0.81272843113357462</v>
      </c>
    </row>
    <row r="54" spans="1:7" ht="17.5" x14ac:dyDescent="0.55000000000000004">
      <c r="A54" s="14" t="s">
        <v>34</v>
      </c>
      <c r="B54" s="14" t="s">
        <v>52</v>
      </c>
      <c r="C54" s="22">
        <v>2885.9721919999997</v>
      </c>
      <c r="D54" s="22">
        <v>20.900983999999426</v>
      </c>
      <c r="E54" s="15">
        <v>7.2422679809380774E-3</v>
      </c>
      <c r="F54" s="22">
        <v>2865.0712080000003</v>
      </c>
      <c r="G54" s="15">
        <v>0.99275773201906192</v>
      </c>
    </row>
    <row r="55" spans="1:7" ht="17.5" x14ac:dyDescent="0.55000000000000004">
      <c r="A55" s="14" t="s">
        <v>36</v>
      </c>
      <c r="B55" s="14" t="s">
        <v>51</v>
      </c>
      <c r="C55" s="22">
        <v>18874.159312</v>
      </c>
      <c r="D55" s="22">
        <v>4302.9995560000007</v>
      </c>
      <c r="E55" s="15">
        <v>0.22798364074760125</v>
      </c>
      <c r="F55" s="22">
        <v>14571.159755999999</v>
      </c>
      <c r="G55" s="15">
        <v>0.77201635925239875</v>
      </c>
    </row>
    <row r="56" spans="1:7" ht="17.5" x14ac:dyDescent="0.55000000000000004">
      <c r="A56" s="14" t="s">
        <v>36</v>
      </c>
      <c r="B56" s="14" t="s">
        <v>11</v>
      </c>
      <c r="C56" s="22">
        <v>62702.572855999999</v>
      </c>
      <c r="D56" s="22">
        <v>15252.928</v>
      </c>
      <c r="E56" s="15">
        <v>0.24325840719533487</v>
      </c>
      <c r="F56" s="22">
        <v>47449.644855999999</v>
      </c>
      <c r="G56" s="15">
        <v>0.75674159280466513</v>
      </c>
    </row>
    <row r="57" spans="1:7" ht="17.5" x14ac:dyDescent="0.55000000000000004">
      <c r="A57" s="14" t="s">
        <v>36</v>
      </c>
      <c r="B57" s="14" t="s">
        <v>52</v>
      </c>
      <c r="C57" s="22">
        <v>3404</v>
      </c>
      <c r="D57" s="22">
        <v>902.01584500000035</v>
      </c>
      <c r="E57" s="15">
        <v>0.26498702849588729</v>
      </c>
      <c r="F57" s="22">
        <v>2501.9841549999996</v>
      </c>
      <c r="G57" s="15">
        <v>0.73501297150411271</v>
      </c>
    </row>
    <row r="58" spans="1:7" ht="17.5" x14ac:dyDescent="0.55000000000000004">
      <c r="A58" s="14" t="s">
        <v>88</v>
      </c>
      <c r="B58" s="14" t="s">
        <v>51</v>
      </c>
      <c r="C58" s="22">
        <v>20297.059501000003</v>
      </c>
      <c r="D58" s="22">
        <v>86.22374100000161</v>
      </c>
      <c r="E58" s="15">
        <v>4.2480902711918844E-3</v>
      </c>
      <c r="F58" s="22">
        <v>20210.835760000002</v>
      </c>
      <c r="G58" s="15">
        <v>0.99575190972880812</v>
      </c>
    </row>
    <row r="59" spans="1:7" ht="17.5" x14ac:dyDescent="0.55000000000000004">
      <c r="A59" s="14" t="s">
        <v>88</v>
      </c>
      <c r="B59" s="14" t="s">
        <v>28</v>
      </c>
      <c r="C59" s="22">
        <v>32628.135318000001</v>
      </c>
      <c r="D59" s="22">
        <v>0</v>
      </c>
      <c r="E59" s="15">
        <v>0</v>
      </c>
      <c r="F59" s="22">
        <v>32628.135318000001</v>
      </c>
      <c r="G59" s="15">
        <v>1</v>
      </c>
    </row>
    <row r="60" spans="1:7" ht="17.5" x14ac:dyDescent="0.55000000000000004">
      <c r="A60" s="14" t="s">
        <v>88</v>
      </c>
      <c r="B60" s="14" t="s">
        <v>86</v>
      </c>
      <c r="C60" s="22">
        <v>4087.788</v>
      </c>
      <c r="D60" s="22">
        <v>78.534163999999691</v>
      </c>
      <c r="E60" s="15">
        <v>1.9211897485877372E-2</v>
      </c>
      <c r="F60" s="22">
        <v>4009.2538360000003</v>
      </c>
      <c r="G60" s="15">
        <v>0.98078810251412263</v>
      </c>
    </row>
    <row r="61" spans="1:7" ht="17.5" x14ac:dyDescent="0.55000000000000004">
      <c r="A61" s="14" t="s">
        <v>88</v>
      </c>
      <c r="B61" s="14" t="s">
        <v>52</v>
      </c>
      <c r="C61" s="22">
        <v>7305.13411</v>
      </c>
      <c r="D61" s="22">
        <v>252.82765600000039</v>
      </c>
      <c r="E61" s="15">
        <v>3.4609584463877852E-2</v>
      </c>
      <c r="F61" s="22">
        <v>7052.3064539999996</v>
      </c>
      <c r="G61" s="15">
        <v>0.96539041553612215</v>
      </c>
    </row>
    <row r="62" spans="1:7" ht="17.5" x14ac:dyDescent="0.55000000000000004">
      <c r="A62" s="14" t="s">
        <v>89</v>
      </c>
      <c r="B62" s="14" t="s">
        <v>52</v>
      </c>
      <c r="C62" s="22">
        <v>46852.528238999999</v>
      </c>
      <c r="D62" s="22">
        <v>550.48797200000263</v>
      </c>
      <c r="E62" s="15">
        <v>1.1749376024958624E-2</v>
      </c>
      <c r="F62" s="22">
        <v>46302.040266999997</v>
      </c>
      <c r="G62" s="15">
        <v>0.98825062397504138</v>
      </c>
    </row>
    <row r="63" spans="1:7" ht="17.5" x14ac:dyDescent="0.55000000000000004">
      <c r="A63" s="14" t="s">
        <v>89</v>
      </c>
      <c r="B63" s="14" t="s">
        <v>51</v>
      </c>
      <c r="C63" s="22">
        <v>7322.4876919999997</v>
      </c>
      <c r="D63" s="22">
        <v>0</v>
      </c>
      <c r="E63" s="15">
        <v>0</v>
      </c>
      <c r="F63" s="22">
        <v>7322.4876919999997</v>
      </c>
      <c r="G63" s="15">
        <v>1</v>
      </c>
    </row>
    <row r="64" spans="1:7" ht="17.5" x14ac:dyDescent="0.55000000000000004">
      <c r="A64" s="14" t="s">
        <v>89</v>
      </c>
      <c r="B64" s="14" t="s">
        <v>28</v>
      </c>
      <c r="C64" s="22">
        <v>16192.826744999998</v>
      </c>
      <c r="D64" s="22">
        <v>0</v>
      </c>
      <c r="E64" s="15">
        <v>0</v>
      </c>
      <c r="F64" s="22">
        <v>16192.826744999998</v>
      </c>
      <c r="G64" s="15">
        <v>1</v>
      </c>
    </row>
    <row r="65" spans="1:7" ht="17.5" x14ac:dyDescent="0.55000000000000004">
      <c r="A65" s="14" t="s">
        <v>89</v>
      </c>
      <c r="B65" s="14" t="s">
        <v>86</v>
      </c>
      <c r="C65" s="22">
        <v>16395.686447</v>
      </c>
      <c r="D65" s="22">
        <v>958.48999999999978</v>
      </c>
      <c r="E65" s="15">
        <v>5.8459888404085669E-2</v>
      </c>
      <c r="F65" s="22">
        <v>15437.196447</v>
      </c>
      <c r="G65" s="15">
        <v>0.94154011159591433</v>
      </c>
    </row>
    <row r="66" spans="1:7" ht="17.5" x14ac:dyDescent="0.55000000000000004">
      <c r="A66" s="14" t="s">
        <v>39</v>
      </c>
      <c r="B66" s="14" t="s">
        <v>52</v>
      </c>
      <c r="C66" s="22">
        <v>53519.338037000001</v>
      </c>
      <c r="D66" s="22">
        <v>5064.3402559999959</v>
      </c>
      <c r="E66" s="15">
        <v>9.4626362017011911E-2</v>
      </c>
      <c r="F66" s="22">
        <v>48454.997781000005</v>
      </c>
      <c r="G66" s="15">
        <v>0.90537363798298809</v>
      </c>
    </row>
    <row r="67" spans="1:7" ht="17.5" x14ac:dyDescent="0.55000000000000004">
      <c r="A67" s="14" t="s">
        <v>39</v>
      </c>
      <c r="B67" s="14" t="s">
        <v>51</v>
      </c>
      <c r="C67" s="22">
        <v>8235.4423770000012</v>
      </c>
      <c r="D67" s="22">
        <v>733.52835400000095</v>
      </c>
      <c r="E67" s="15">
        <v>8.9069696613821692E-2</v>
      </c>
      <c r="F67" s="22">
        <v>7501.9140230000003</v>
      </c>
      <c r="G67" s="15">
        <v>0.91093030338617831</v>
      </c>
    </row>
    <row r="68" spans="1:7" ht="17.5" x14ac:dyDescent="0.55000000000000004">
      <c r="A68" s="14" t="s">
        <v>39</v>
      </c>
      <c r="B68" s="14" t="s">
        <v>16</v>
      </c>
      <c r="C68" s="22">
        <v>22476.529877999998</v>
      </c>
      <c r="D68" s="22">
        <v>6403.071810999998</v>
      </c>
      <c r="E68" s="15">
        <v>0.28487813046565158</v>
      </c>
      <c r="F68" s="22">
        <v>16073.458067</v>
      </c>
      <c r="G68" s="15">
        <v>0.71512186953434842</v>
      </c>
    </row>
    <row r="69" spans="1:7" ht="17.5" x14ac:dyDescent="0.55000000000000004">
      <c r="A69" s="14" t="s">
        <v>39</v>
      </c>
      <c r="B69" s="14" t="s">
        <v>11</v>
      </c>
      <c r="C69" s="22">
        <v>48724.351244000005</v>
      </c>
      <c r="D69" s="22">
        <v>1742.7123800000045</v>
      </c>
      <c r="E69" s="15">
        <v>3.5766764164245402E-2</v>
      </c>
      <c r="F69" s="22">
        <v>46981.638864</v>
      </c>
      <c r="G69" s="15">
        <v>0.9642332358357546</v>
      </c>
    </row>
    <row r="70" spans="1:7" ht="17.5" x14ac:dyDescent="0.55000000000000004">
      <c r="A70" s="14" t="s">
        <v>39</v>
      </c>
      <c r="B70" s="14" t="s">
        <v>32</v>
      </c>
      <c r="C70" s="22">
        <v>31004.631517999998</v>
      </c>
      <c r="D70" s="22">
        <v>1731.7612529999969</v>
      </c>
      <c r="E70" s="15">
        <v>5.5854921287956882E-2</v>
      </c>
      <c r="F70" s="22">
        <v>29272.870265000001</v>
      </c>
      <c r="G70" s="15">
        <v>0.94414507871204312</v>
      </c>
    </row>
  </sheetData>
  <sheetProtection sheet="1" selectLockedCells="1" sort="0" autoFilter="0" pivotTables="0"/>
  <protectedRanges>
    <protectedRange sqref="A15:G70" name="Range1"/>
  </protectedRanges>
  <mergeCells count="1">
    <mergeCell ref="E5:G14"/>
  </mergeCells>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European Union</vt:lpstr>
      <vt:lpstr>United Kingdom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Jonathon Green</dc:creator>
  <cp:lastModifiedBy>Jonathon Carruthers-Green</cp:lastModifiedBy>
  <dcterms:created xsi:type="dcterms:W3CDTF">2015-06-05T18:17:20Z</dcterms:created>
  <dcterms:modified xsi:type="dcterms:W3CDTF">2025-05-20T10:48:24Z</dcterms:modified>
</cp:coreProperties>
</file>