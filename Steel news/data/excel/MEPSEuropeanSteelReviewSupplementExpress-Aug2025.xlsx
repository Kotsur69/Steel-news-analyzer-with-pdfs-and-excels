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frpuaud_reims-distrib_arcelormittal_com/Documents/Documents/STEEL MARKETS/MEPS/2025/EXPRESS MEPS + Supplt/"/>
    </mc:Choice>
  </mc:AlternateContent>
  <xr:revisionPtr revIDLastSave="12" documentId="13_ncr:1_{1EE45ADC-BCFC-4C42-914D-16793F0729EC}" xr6:coauthVersionLast="47" xr6:coauthVersionMax="47" xr10:uidLastSave="{B04C68DA-4EA9-4B27-B681-BD68F21FCF42}"/>
  <bookViews>
    <workbookView xWindow="-110" yWindow="-110" windowWidth="19420" windowHeight="10300" activeTab="1" xr2:uid="{00000000-000D-0000-FFFF-FFFF00000000}"/>
  </bookViews>
  <sheets>
    <sheet name="Basis" sheetId="1" r:id="rId1"/>
    <sheet name="Transactio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6" i="2" l="1"/>
  <c r="H40" i="2"/>
  <c r="H37" i="2"/>
  <c r="H23" i="1"/>
  <c r="H20" i="1"/>
  <c r="H17" i="1"/>
  <c r="H14" i="1"/>
  <c r="H11" i="1"/>
</calcChain>
</file>

<file path=xl/sharedStrings.xml><?xml version="1.0" encoding="utf-8"?>
<sst xmlns="http://schemas.openxmlformats.org/spreadsheetml/2006/main" count="169" uniqueCount="42">
  <si>
    <t>Hot Rolled Coil</t>
  </si>
  <si>
    <t>High</t>
  </si>
  <si>
    <t>Low</t>
  </si>
  <si>
    <t>Hot Rolled Plate</t>
  </si>
  <si>
    <t>Cold Rolled Coil</t>
  </si>
  <si>
    <t>Hot Dipped Galvanised Coil</t>
  </si>
  <si>
    <t>Electro-Zinc Coated Coil</t>
  </si>
  <si>
    <t>Denmark</t>
  </si>
  <si>
    <t>Sweden</t>
  </si>
  <si>
    <t>Finland</t>
  </si>
  <si>
    <t>Netherlands</t>
  </si>
  <si>
    <t>Austria</t>
  </si>
  <si>
    <t>Norway</t>
  </si>
  <si>
    <t>HD Galv Coil</t>
  </si>
  <si>
    <t>EZ Coated Coil</t>
  </si>
  <si>
    <t>Wire Rod</t>
  </si>
  <si>
    <t>Medium Sections</t>
  </si>
  <si>
    <t>Rebar</t>
  </si>
  <si>
    <t>Merchant Bar</t>
  </si>
  <si>
    <t>Transaction Price Data Sheet</t>
  </si>
  <si>
    <t>Medium Sections (I Beam)</t>
  </si>
  <si>
    <t>Medium Sections (H Beam)</t>
  </si>
  <si>
    <t>Reinforcing Bar</t>
  </si>
  <si>
    <t>Merchant Bar (Round)</t>
  </si>
  <si>
    <t>Merchant Bar (Equal Angle)</t>
  </si>
  <si>
    <t>Flat Rolled Products - Negotiated Domestic Basis Prices</t>
  </si>
  <si>
    <t>Long Products - Negotiated Domestic Basis Prices</t>
  </si>
  <si>
    <t>Month on Month % Change</t>
  </si>
  <si>
    <t>Negotiated Domestic Transaction Prices</t>
  </si>
  <si>
    <t>Long Products</t>
  </si>
  <si>
    <t>Medium Sections and Beams</t>
  </si>
  <si>
    <t>(Drawing Quality)</t>
  </si>
  <si>
    <t>MEPS European Steel Review Supplement - Express</t>
  </si>
  <si>
    <t>Copyright © MEPS International Ltd. All rights reserved.</t>
  </si>
  <si>
    <t>Unauthorised access or use of MEPS data is strictly prohibited.</t>
  </si>
  <si>
    <t>Wire Rod (Drawing Quality)</t>
  </si>
  <si>
    <t>DKK/t</t>
  </si>
  <si>
    <t>EUR/t</t>
  </si>
  <si>
    <t>SEK/t</t>
  </si>
  <si>
    <t>NOK/t</t>
  </si>
  <si>
    <t>Flat Products</t>
  </si>
  <si>
    <t>Nordic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</si>
</sst>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\ 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33597E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6"/>
      <color rgb="FF4E508F"/>
      <name val="Arial"/>
      <family val="2"/>
    </font>
    <font>
      <b/>
      <sz val="10"/>
      <color rgb="FF4E508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E508F"/>
        <bgColor indexed="64"/>
      </patternFill>
    </fill>
  </fills>
  <borders count="9">
    <border>
      <left/>
      <right/>
      <top/>
      <bottom/>
      <diagonal/>
    </border>
    <border>
      <left style="thin">
        <color rgb="FF4E508F"/>
      </left>
      <right/>
      <top style="thin">
        <color rgb="FF4E508F"/>
      </top>
      <bottom/>
      <diagonal/>
    </border>
    <border>
      <left/>
      <right/>
      <top style="thin">
        <color rgb="FF4E508F"/>
      </top>
      <bottom/>
      <diagonal/>
    </border>
    <border>
      <left/>
      <right style="thin">
        <color rgb="FF4E508F"/>
      </right>
      <top style="thin">
        <color rgb="FF4E508F"/>
      </top>
      <bottom/>
      <diagonal/>
    </border>
    <border>
      <left style="thin">
        <color rgb="FF4E508F"/>
      </left>
      <right/>
      <top/>
      <bottom/>
      <diagonal/>
    </border>
    <border>
      <left/>
      <right style="thin">
        <color rgb="FF4E508F"/>
      </right>
      <top/>
      <bottom/>
      <diagonal/>
    </border>
    <border>
      <left style="thin">
        <color rgb="FF4E508F"/>
      </left>
      <right/>
      <top/>
      <bottom style="thin">
        <color rgb="FF4E508F"/>
      </bottom>
      <diagonal/>
    </border>
    <border>
      <left/>
      <right/>
      <top/>
      <bottom style="thin">
        <color rgb="FF4E508F"/>
      </bottom>
      <diagonal/>
    </border>
    <border>
      <left/>
      <right style="thin">
        <color rgb="FF4E508F"/>
      </right>
      <top/>
      <bottom style="thin">
        <color rgb="FF4E508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2" fillId="2" borderId="0" xfId="0" applyFont="1" applyFill="1"/>
    <xf numFmtId="0" fontId="13" fillId="2" borderId="0" xfId="0" applyFont="1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9" fillId="2" borderId="4" xfId="0" applyFont="1" applyFill="1" applyBorder="1"/>
    <xf numFmtId="0" fontId="18" fillId="2" borderId="0" xfId="0" applyFont="1" applyFill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5" fillId="2" borderId="5" xfId="0" applyFont="1" applyFill="1" applyBorder="1" applyAlignment="1">
      <alignment horizontal="right" indent="1"/>
    </xf>
    <xf numFmtId="0" fontId="19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19" fillId="2" borderId="0" xfId="0" applyFont="1" applyFill="1"/>
    <xf numFmtId="0" fontId="4" fillId="2" borderId="0" xfId="0" applyFont="1" applyFill="1" applyAlignment="1">
      <alignment horizontal="right" indent="1"/>
    </xf>
    <xf numFmtId="0" fontId="4" fillId="2" borderId="5" xfId="0" applyFont="1" applyFill="1" applyBorder="1" applyAlignment="1">
      <alignment horizontal="right" indent="1"/>
    </xf>
    <xf numFmtId="0" fontId="8" fillId="2" borderId="0" xfId="0" applyFont="1" applyFill="1"/>
    <xf numFmtId="164" fontId="19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indent="1"/>
    </xf>
    <xf numFmtId="0" fontId="8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2" fillId="2" borderId="5" xfId="0" applyFont="1" applyFill="1" applyBorder="1" applyAlignment="1">
      <alignment horizontal="right" vertical="center" indent="1"/>
    </xf>
    <xf numFmtId="164" fontId="8" fillId="2" borderId="0" xfId="0" applyNumberFormat="1" applyFont="1" applyFill="1" applyAlignment="1">
      <alignment horizontal="right" indent="1"/>
    </xf>
    <xf numFmtId="0" fontId="2" fillId="2" borderId="0" xfId="0" applyFont="1" applyFill="1" applyAlignment="1">
      <alignment wrapText="1"/>
    </xf>
    <xf numFmtId="0" fontId="20" fillId="2" borderId="0" xfId="0" applyFont="1" applyFill="1"/>
    <xf numFmtId="165" fontId="21" fillId="2" borderId="0" xfId="0" applyNumberFormat="1" applyFont="1" applyFill="1" applyAlignment="1">
      <alignment horizontal="left"/>
    </xf>
    <xf numFmtId="0" fontId="3" fillId="2" borderId="4" xfId="0" applyFont="1" applyFill="1" applyBorder="1" applyAlignment="1">
      <alignment horizontal="left" wrapText="1" indent="1"/>
    </xf>
    <xf numFmtId="0" fontId="1" fillId="2" borderId="5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 applyAlignment="1">
      <alignment horizontal="right" indent="2"/>
    </xf>
    <xf numFmtId="0" fontId="4" fillId="2" borderId="0" xfId="0" applyFont="1" applyFill="1"/>
    <xf numFmtId="0" fontId="21" fillId="2" borderId="4" xfId="0" applyFont="1" applyFill="1" applyBorder="1" applyAlignment="1">
      <alignment horizontal="left" indent="1"/>
    </xf>
    <xf numFmtId="0" fontId="10" fillId="2" borderId="4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right" indent="2"/>
    </xf>
    <xf numFmtId="0" fontId="2" fillId="2" borderId="7" xfId="0" applyFont="1" applyFill="1" applyBorder="1" applyAlignment="1">
      <alignment horizontal="right" indent="1"/>
    </xf>
    <xf numFmtId="0" fontId="2" fillId="2" borderId="8" xfId="0" applyFont="1" applyFill="1" applyBorder="1" applyAlignment="1">
      <alignment horizontal="right" indent="1"/>
    </xf>
    <xf numFmtId="0" fontId="2" fillId="2" borderId="2" xfId="0" applyFont="1" applyFill="1" applyBorder="1" applyAlignment="1">
      <alignment horizontal="right" indent="1"/>
    </xf>
    <xf numFmtId="0" fontId="2" fillId="2" borderId="3" xfId="0" applyFont="1" applyFill="1" applyBorder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6" fillId="2" borderId="0" xfId="0" applyFont="1" applyFill="1" applyAlignment="1">
      <alignment horizontal="right" indent="2"/>
    </xf>
    <xf numFmtId="0" fontId="8" fillId="2" borderId="0" xfId="0" applyFont="1" applyFill="1" applyAlignment="1">
      <alignment horizontal="right" indent="2"/>
    </xf>
    <xf numFmtId="0" fontId="15" fillId="3" borderId="1" xfId="0" applyFont="1" applyFill="1" applyBorder="1" applyAlignment="1">
      <alignment horizontal="left" vertical="center" indent="1"/>
    </xf>
    <xf numFmtId="0" fontId="16" fillId="3" borderId="2" xfId="0" applyFont="1" applyFill="1" applyBorder="1" applyAlignment="1">
      <alignment horizontal="left" vertical="center" indent="1"/>
    </xf>
    <xf numFmtId="0" fontId="16" fillId="3" borderId="3" xfId="0" applyFont="1" applyFill="1" applyBorder="1" applyAlignment="1">
      <alignment horizontal="left" vertical="center" indent="1"/>
    </xf>
    <xf numFmtId="0" fontId="14" fillId="3" borderId="4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17" fillId="3" borderId="2" xfId="0" applyFont="1" applyFill="1" applyBorder="1" applyAlignment="1">
      <alignment horizontal="left" vertical="center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wrapText="1" indent="1"/>
    </xf>
    <xf numFmtId="0" fontId="16" fillId="3" borderId="2" xfId="0" applyFont="1" applyFill="1" applyBorder="1" applyAlignment="1">
      <alignment horizontal="left" indent="1"/>
    </xf>
    <xf numFmtId="0" fontId="16" fillId="3" borderId="3" xfId="0" applyFont="1" applyFill="1" applyBorder="1" applyAlignment="1">
      <alignment horizontal="left" indent="1"/>
    </xf>
    <xf numFmtId="0" fontId="15" fillId="3" borderId="4" xfId="0" applyFont="1" applyFill="1" applyBorder="1" applyAlignment="1">
      <alignment horizontal="left" indent="1"/>
    </xf>
    <xf numFmtId="0" fontId="16" fillId="3" borderId="0" xfId="0" applyFont="1" applyFill="1" applyAlignment="1">
      <alignment horizontal="left" indent="1"/>
    </xf>
    <xf numFmtId="0" fontId="16" fillId="3" borderId="5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121F"/>
      <color rgb="FF4E508F"/>
      <color rgb="FF33597E"/>
      <color rgb="FF5386B9"/>
      <color rgb="FFD6E2EE"/>
      <color rgb="FFB5C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-my.sharepoint.com/personal/frpuaud_reims-distrib_arcelormittal_com/Documents/Documents/STEEL%20MARKETS/MEPS/2025/EXPRESS%20MEPS%20+%20Supplt/MEPSEuropeanSteelReviewSupplementExpress-Jul2025.xlsx" TargetMode="External"/><Relationship Id="rId1" Type="http://schemas.openxmlformats.org/officeDocument/2006/relationships/externalLinkPath" Target="MEPSEuropeanSteelReviewSupplementExpress-Jul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s"/>
      <sheetName val="Transaction"/>
    </sheetNames>
    <sheetDataSet>
      <sheetData sheetId="0">
        <row r="10">
          <cell r="H10">
            <v>555</v>
          </cell>
        </row>
        <row r="13">
          <cell r="H13">
            <v>630</v>
          </cell>
        </row>
        <row r="16">
          <cell r="H16">
            <v>660</v>
          </cell>
        </row>
        <row r="19">
          <cell r="H19">
            <v>680</v>
          </cell>
        </row>
        <row r="22">
          <cell r="H22">
            <v>700</v>
          </cell>
        </row>
      </sheetData>
      <sheetData sheetId="1">
        <row r="36">
          <cell r="H36">
            <v>765</v>
          </cell>
        </row>
        <row r="39">
          <cell r="H39">
            <v>640</v>
          </cell>
        </row>
        <row r="45">
          <cell r="H45">
            <v>640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zoomScale="90" zoomScaleNormal="90" workbookViewId="0">
      <selection activeCell="H23" sqref="H23"/>
    </sheetView>
  </sheetViews>
  <sheetFormatPr baseColWidth="10" defaultColWidth="9.08984375" defaultRowHeight="12.5" x14ac:dyDescent="0.25"/>
  <cols>
    <col min="1" max="1" width="18.36328125" style="1" customWidth="1"/>
    <col min="2" max="2" width="5.6328125" style="1" customWidth="1"/>
    <col min="3" max="7" width="12.6328125" style="1" hidden="1" customWidth="1"/>
    <col min="8" max="11" width="12.6328125" style="1" customWidth="1"/>
    <col min="12" max="12" width="2.54296875" style="1" customWidth="1"/>
    <col min="13" max="13" width="17.81640625" style="1" customWidth="1"/>
    <col min="14" max="14" width="5.90625" style="1" customWidth="1"/>
    <col min="15" max="23" width="12.54296875" style="1" customWidth="1"/>
    <col min="24" max="16384" width="9.08984375" style="1"/>
  </cols>
  <sheetData>
    <row r="1" spans="1:23" ht="20" x14ac:dyDescent="0.4">
      <c r="A1" s="41" t="s">
        <v>32</v>
      </c>
    </row>
    <row r="2" spans="1:23" ht="13" x14ac:dyDescent="0.3">
      <c r="A2" s="42">
        <v>45881</v>
      </c>
    </row>
    <row r="3" spans="1:23" ht="12.75" customHeight="1" x14ac:dyDescent="0.25"/>
    <row r="4" spans="1:23" s="10" customFormat="1" ht="20.25" customHeight="1" x14ac:dyDescent="0.35">
      <c r="A4" s="62" t="s">
        <v>25</v>
      </c>
      <c r="B4" s="63"/>
      <c r="C4" s="63"/>
      <c r="D4" s="63"/>
      <c r="E4" s="63"/>
      <c r="F4" s="63"/>
      <c r="G4" s="63"/>
      <c r="H4" s="63"/>
      <c r="I4" s="63"/>
      <c r="J4" s="63"/>
      <c r="K4" s="64"/>
      <c r="L4" s="9"/>
      <c r="M4" s="62" t="s">
        <v>26</v>
      </c>
      <c r="N4" s="71"/>
      <c r="O4" s="71"/>
      <c r="P4" s="71"/>
      <c r="Q4" s="71"/>
      <c r="R4" s="71"/>
      <c r="S4" s="71"/>
      <c r="T4" s="71"/>
      <c r="U4" s="71"/>
      <c r="V4" s="71"/>
      <c r="W4" s="64"/>
    </row>
    <row r="5" spans="1:23" ht="13.5" customHeight="1" x14ac:dyDescent="0.25">
      <c r="A5" s="11"/>
      <c r="K5" s="12"/>
      <c r="M5" s="11"/>
      <c r="W5" s="12"/>
    </row>
    <row r="6" spans="1:23" ht="13.5" customHeight="1" x14ac:dyDescent="0.3">
      <c r="A6" s="13"/>
      <c r="C6" s="14" t="s">
        <v>7</v>
      </c>
      <c r="D6" s="15" t="s">
        <v>7</v>
      </c>
      <c r="E6" s="14" t="s">
        <v>8</v>
      </c>
      <c r="F6" s="15" t="s">
        <v>8</v>
      </c>
      <c r="G6" s="15" t="s">
        <v>9</v>
      </c>
      <c r="H6" s="15" t="s">
        <v>10</v>
      </c>
      <c r="I6" s="15" t="s">
        <v>11</v>
      </c>
      <c r="J6" s="14" t="s">
        <v>12</v>
      </c>
      <c r="K6" s="16" t="s">
        <v>12</v>
      </c>
      <c r="M6" s="13"/>
      <c r="O6" s="14" t="s">
        <v>7</v>
      </c>
      <c r="P6" s="15" t="s">
        <v>7</v>
      </c>
      <c r="Q6" s="14" t="s">
        <v>8</v>
      </c>
      <c r="R6" s="15" t="s">
        <v>8</v>
      </c>
      <c r="S6" s="15" t="s">
        <v>9</v>
      </c>
      <c r="T6" s="15" t="s">
        <v>10</v>
      </c>
      <c r="U6" s="15" t="s">
        <v>11</v>
      </c>
      <c r="V6" s="14" t="s">
        <v>12</v>
      </c>
      <c r="W6" s="16" t="s">
        <v>12</v>
      </c>
    </row>
    <row r="7" spans="1:23" ht="13.5" customHeight="1" x14ac:dyDescent="0.25">
      <c r="A7" s="11"/>
      <c r="C7" s="17" t="s">
        <v>36</v>
      </c>
      <c r="D7" s="18" t="s">
        <v>37</v>
      </c>
      <c r="E7" s="17" t="s">
        <v>38</v>
      </c>
      <c r="F7" s="18" t="s">
        <v>37</v>
      </c>
      <c r="G7" s="18" t="s">
        <v>37</v>
      </c>
      <c r="H7" s="18" t="s">
        <v>37</v>
      </c>
      <c r="I7" s="18" t="s">
        <v>37</v>
      </c>
      <c r="J7" s="17" t="s">
        <v>39</v>
      </c>
      <c r="K7" s="19" t="s">
        <v>37</v>
      </c>
      <c r="M7" s="11"/>
      <c r="O7" s="17" t="s">
        <v>36</v>
      </c>
      <c r="P7" s="18" t="s">
        <v>37</v>
      </c>
      <c r="Q7" s="17" t="s">
        <v>38</v>
      </c>
      <c r="R7" s="18" t="s">
        <v>37</v>
      </c>
      <c r="S7" s="18" t="s">
        <v>37</v>
      </c>
      <c r="T7" s="18" t="s">
        <v>37</v>
      </c>
      <c r="U7" s="18" t="s">
        <v>37</v>
      </c>
      <c r="V7" s="17" t="s">
        <v>39</v>
      </c>
      <c r="W7" s="19" t="s">
        <v>37</v>
      </c>
    </row>
    <row r="8" spans="1:23" ht="13.5" customHeight="1" x14ac:dyDescent="0.3">
      <c r="A8" s="11"/>
      <c r="C8" s="20"/>
      <c r="E8" s="20"/>
      <c r="J8" s="20"/>
      <c r="K8" s="12"/>
      <c r="M8" s="11"/>
      <c r="O8" s="30"/>
      <c r="P8" s="31"/>
      <c r="Q8" s="30"/>
      <c r="R8" s="31"/>
      <c r="S8" s="31"/>
      <c r="T8" s="31"/>
      <c r="U8" s="31"/>
      <c r="V8" s="30"/>
      <c r="W8" s="32"/>
    </row>
    <row r="9" spans="1:23" ht="13.5" customHeight="1" x14ac:dyDescent="0.25">
      <c r="A9" s="68" t="s">
        <v>0</v>
      </c>
      <c r="B9" s="1" t="s">
        <v>1</v>
      </c>
      <c r="C9" s="17">
        <v>4405</v>
      </c>
      <c r="D9" s="21">
        <v>590</v>
      </c>
      <c r="E9" s="17">
        <v>7045</v>
      </c>
      <c r="F9" s="21">
        <v>630</v>
      </c>
      <c r="G9" s="21">
        <v>630</v>
      </c>
      <c r="H9" s="21">
        <v>580</v>
      </c>
      <c r="I9" s="21">
        <v>570</v>
      </c>
      <c r="J9" s="17">
        <v>7465</v>
      </c>
      <c r="K9" s="22">
        <v>630</v>
      </c>
      <c r="M9" s="68" t="s">
        <v>35</v>
      </c>
      <c r="N9" s="40" t="s">
        <v>1</v>
      </c>
      <c r="O9" s="36">
        <v>4700</v>
      </c>
      <c r="P9" s="37">
        <v>630</v>
      </c>
      <c r="Q9" s="36">
        <v>7320</v>
      </c>
      <c r="R9" s="37">
        <v>655</v>
      </c>
      <c r="S9" s="37">
        <v>655</v>
      </c>
      <c r="T9" s="37">
        <v>630</v>
      </c>
      <c r="U9" s="37">
        <v>625</v>
      </c>
      <c r="V9" s="36">
        <v>7755</v>
      </c>
      <c r="W9" s="38">
        <v>654</v>
      </c>
    </row>
    <row r="10" spans="1:23" ht="13.5" customHeight="1" x14ac:dyDescent="0.25">
      <c r="A10" s="70"/>
      <c r="B10" s="1" t="s">
        <v>2</v>
      </c>
      <c r="C10" s="17">
        <v>4255</v>
      </c>
      <c r="D10" s="21">
        <v>570</v>
      </c>
      <c r="E10" s="17">
        <v>6820</v>
      </c>
      <c r="F10" s="21">
        <v>610</v>
      </c>
      <c r="G10" s="21">
        <v>610</v>
      </c>
      <c r="H10" s="21">
        <v>555</v>
      </c>
      <c r="I10" s="21">
        <v>550</v>
      </c>
      <c r="J10" s="17">
        <v>7230</v>
      </c>
      <c r="K10" s="22">
        <v>610</v>
      </c>
      <c r="M10" s="69"/>
      <c r="N10" s="40" t="s">
        <v>2</v>
      </c>
      <c r="O10" s="36">
        <v>4550</v>
      </c>
      <c r="P10" s="37">
        <v>610</v>
      </c>
      <c r="Q10" s="36">
        <v>7100</v>
      </c>
      <c r="R10" s="37">
        <v>635</v>
      </c>
      <c r="S10" s="37">
        <v>635</v>
      </c>
      <c r="T10" s="37">
        <v>610</v>
      </c>
      <c r="U10" s="37">
        <v>605</v>
      </c>
      <c r="V10" s="36">
        <v>7525</v>
      </c>
      <c r="W10" s="38">
        <v>635</v>
      </c>
    </row>
    <row r="11" spans="1:23" ht="13.5" customHeight="1" x14ac:dyDescent="0.3">
      <c r="A11" s="34"/>
      <c r="C11" s="17"/>
      <c r="D11" s="21"/>
      <c r="E11" s="17"/>
      <c r="F11" s="21"/>
      <c r="G11" s="21"/>
      <c r="H11" s="21">
        <f>H10-[1]Basis!H10</f>
        <v>0</v>
      </c>
      <c r="I11" s="21"/>
      <c r="J11" s="17"/>
      <c r="K11" s="22"/>
      <c r="M11" s="43"/>
      <c r="N11" s="40"/>
      <c r="O11" s="36"/>
      <c r="P11" s="37"/>
      <c r="Q11" s="36"/>
      <c r="R11" s="37"/>
      <c r="S11" s="37"/>
      <c r="T11" s="37"/>
      <c r="U11" s="37"/>
      <c r="V11" s="36"/>
      <c r="W11" s="38"/>
    </row>
    <row r="12" spans="1:23" ht="13.5" customHeight="1" x14ac:dyDescent="0.25">
      <c r="A12" s="68" t="s">
        <v>3</v>
      </c>
      <c r="B12" s="1" t="s">
        <v>1</v>
      </c>
      <c r="C12" s="17">
        <v>4850</v>
      </c>
      <c r="D12" s="21">
        <v>650</v>
      </c>
      <c r="E12" s="17">
        <v>7715</v>
      </c>
      <c r="F12" s="21">
        <v>690</v>
      </c>
      <c r="G12" s="21">
        <v>680</v>
      </c>
      <c r="H12" s="21">
        <v>650</v>
      </c>
      <c r="I12" s="21">
        <v>640</v>
      </c>
      <c r="J12" s="17">
        <v>8175</v>
      </c>
      <c r="K12" s="22">
        <v>690</v>
      </c>
      <c r="M12" s="68" t="s">
        <v>30</v>
      </c>
      <c r="N12" s="40" t="s">
        <v>1</v>
      </c>
      <c r="O12" s="36">
        <v>5745</v>
      </c>
      <c r="P12" s="37">
        <v>770</v>
      </c>
      <c r="Q12" s="36">
        <v>9175</v>
      </c>
      <c r="R12" s="37">
        <v>821</v>
      </c>
      <c r="S12" s="37">
        <v>810</v>
      </c>
      <c r="T12" s="37">
        <v>755</v>
      </c>
      <c r="U12" s="37">
        <v>775</v>
      </c>
      <c r="V12" s="36">
        <v>9715</v>
      </c>
      <c r="W12" s="38">
        <v>820</v>
      </c>
    </row>
    <row r="13" spans="1:23" ht="13.5" customHeight="1" x14ac:dyDescent="0.25">
      <c r="A13" s="70"/>
      <c r="B13" s="1" t="s">
        <v>2</v>
      </c>
      <c r="C13" s="17">
        <v>4625</v>
      </c>
      <c r="D13" s="21">
        <v>620</v>
      </c>
      <c r="E13" s="17">
        <v>7490</v>
      </c>
      <c r="F13" s="21">
        <v>670</v>
      </c>
      <c r="G13" s="21">
        <v>660</v>
      </c>
      <c r="H13" s="21">
        <v>620</v>
      </c>
      <c r="I13" s="21">
        <v>610</v>
      </c>
      <c r="J13" s="17">
        <v>7820</v>
      </c>
      <c r="K13" s="22">
        <v>660</v>
      </c>
      <c r="M13" s="69"/>
      <c r="N13" s="40" t="s">
        <v>2</v>
      </c>
      <c r="O13" s="36">
        <v>5595</v>
      </c>
      <c r="P13" s="37">
        <v>750</v>
      </c>
      <c r="Q13" s="36">
        <v>8950</v>
      </c>
      <c r="R13" s="37">
        <v>801</v>
      </c>
      <c r="S13" s="37">
        <v>790</v>
      </c>
      <c r="T13" s="37">
        <v>735</v>
      </c>
      <c r="U13" s="37">
        <v>755</v>
      </c>
      <c r="V13" s="36">
        <v>9360</v>
      </c>
      <c r="W13" s="38">
        <v>790</v>
      </c>
    </row>
    <row r="14" spans="1:23" ht="13.5" customHeight="1" x14ac:dyDescent="0.3">
      <c r="A14" s="34"/>
      <c r="C14" s="17"/>
      <c r="D14" s="21"/>
      <c r="E14" s="17"/>
      <c r="F14" s="21"/>
      <c r="G14" s="21"/>
      <c r="H14" s="21">
        <f>H13-[1]Basis!H13</f>
        <v>-10</v>
      </c>
      <c r="I14" s="21"/>
      <c r="J14" s="17"/>
      <c r="K14" s="22"/>
      <c r="M14" s="43"/>
      <c r="N14" s="40"/>
      <c r="O14" s="36"/>
      <c r="P14" s="37"/>
      <c r="Q14" s="36"/>
      <c r="R14" s="37"/>
      <c r="S14" s="37"/>
      <c r="T14" s="37"/>
      <c r="U14" s="37"/>
      <c r="V14" s="36"/>
      <c r="W14" s="38"/>
    </row>
    <row r="15" spans="1:23" ht="13.5" customHeight="1" x14ac:dyDescent="0.25">
      <c r="A15" s="68" t="s">
        <v>4</v>
      </c>
      <c r="B15" s="1" t="s">
        <v>1</v>
      </c>
      <c r="C15" s="17">
        <v>5150</v>
      </c>
      <c r="D15" s="21">
        <v>690</v>
      </c>
      <c r="E15" s="17">
        <v>8165</v>
      </c>
      <c r="F15" s="21">
        <v>730</v>
      </c>
      <c r="G15" s="21">
        <v>730</v>
      </c>
      <c r="H15" s="21">
        <v>680</v>
      </c>
      <c r="I15" s="21">
        <v>670</v>
      </c>
      <c r="J15" s="17">
        <v>8650</v>
      </c>
      <c r="K15" s="22">
        <v>730</v>
      </c>
      <c r="M15" s="68" t="s">
        <v>17</v>
      </c>
      <c r="N15" s="40" t="s">
        <v>1</v>
      </c>
      <c r="O15" s="36">
        <v>4815</v>
      </c>
      <c r="P15" s="37">
        <v>645</v>
      </c>
      <c r="Q15" s="36">
        <v>7110</v>
      </c>
      <c r="R15" s="37">
        <v>636</v>
      </c>
      <c r="S15" s="37">
        <v>630</v>
      </c>
      <c r="T15" s="37">
        <v>400</v>
      </c>
      <c r="U15" s="37">
        <v>380</v>
      </c>
      <c r="V15" s="36">
        <v>7525</v>
      </c>
      <c r="W15" s="38">
        <v>635</v>
      </c>
    </row>
    <row r="16" spans="1:23" ht="13.5" customHeight="1" x14ac:dyDescent="0.25">
      <c r="A16" s="70"/>
      <c r="B16" s="1" t="s">
        <v>2</v>
      </c>
      <c r="C16" s="17">
        <v>5000</v>
      </c>
      <c r="D16" s="21">
        <v>670</v>
      </c>
      <c r="E16" s="17">
        <v>7940</v>
      </c>
      <c r="F16" s="21">
        <v>710</v>
      </c>
      <c r="G16" s="21">
        <v>710</v>
      </c>
      <c r="H16" s="21">
        <v>660</v>
      </c>
      <c r="I16" s="21">
        <v>650</v>
      </c>
      <c r="J16" s="17">
        <v>8415</v>
      </c>
      <c r="K16" s="22">
        <v>710</v>
      </c>
      <c r="M16" s="69"/>
      <c r="N16" s="40" t="s">
        <v>2</v>
      </c>
      <c r="O16" s="36">
        <v>4665</v>
      </c>
      <c r="P16" s="37">
        <v>625</v>
      </c>
      <c r="Q16" s="36">
        <v>6885</v>
      </c>
      <c r="R16" s="37">
        <v>616</v>
      </c>
      <c r="S16" s="37">
        <v>610</v>
      </c>
      <c r="T16" s="37">
        <v>380</v>
      </c>
      <c r="U16" s="37">
        <v>360</v>
      </c>
      <c r="V16" s="36">
        <v>7170</v>
      </c>
      <c r="W16" s="38">
        <v>605</v>
      </c>
    </row>
    <row r="17" spans="1:23" ht="13.5" customHeight="1" x14ac:dyDescent="0.3">
      <c r="A17" s="34"/>
      <c r="C17" s="17"/>
      <c r="D17" s="21"/>
      <c r="E17" s="17"/>
      <c r="F17" s="21"/>
      <c r="G17" s="21"/>
      <c r="H17" s="21">
        <f>H16-[1]Basis!H16</f>
        <v>0</v>
      </c>
      <c r="I17" s="21"/>
      <c r="J17" s="17"/>
      <c r="K17" s="22"/>
      <c r="M17" s="43"/>
      <c r="N17" s="40"/>
      <c r="O17" s="36"/>
      <c r="P17" s="37"/>
      <c r="Q17" s="36"/>
      <c r="R17" s="37"/>
      <c r="S17" s="37"/>
      <c r="T17" s="37"/>
      <c r="U17" s="37"/>
      <c r="V17" s="36"/>
      <c r="W17" s="38"/>
    </row>
    <row r="18" spans="1:23" ht="13.5" customHeight="1" x14ac:dyDescent="0.25">
      <c r="A18" s="68" t="s">
        <v>5</v>
      </c>
      <c r="B18" s="1" t="s">
        <v>1</v>
      </c>
      <c r="C18" s="17">
        <v>5300</v>
      </c>
      <c r="D18" s="21">
        <v>710</v>
      </c>
      <c r="E18" s="17">
        <v>8385</v>
      </c>
      <c r="F18" s="21">
        <v>750</v>
      </c>
      <c r="G18" s="21">
        <v>750</v>
      </c>
      <c r="H18" s="21">
        <v>700</v>
      </c>
      <c r="I18" s="21">
        <v>690</v>
      </c>
      <c r="J18" s="17">
        <v>8885</v>
      </c>
      <c r="K18" s="22">
        <v>750</v>
      </c>
      <c r="M18" s="68" t="s">
        <v>18</v>
      </c>
      <c r="N18" s="40" t="s">
        <v>1</v>
      </c>
      <c r="O18" s="36">
        <v>2240</v>
      </c>
      <c r="P18" s="37">
        <v>300</v>
      </c>
      <c r="Q18" s="36">
        <v>4180</v>
      </c>
      <c r="R18" s="37">
        <v>374</v>
      </c>
      <c r="S18" s="37">
        <v>370</v>
      </c>
      <c r="T18" s="37">
        <v>235</v>
      </c>
      <c r="U18" s="37">
        <v>280</v>
      </c>
      <c r="V18" s="36">
        <v>4500</v>
      </c>
      <c r="W18" s="38">
        <v>380</v>
      </c>
    </row>
    <row r="19" spans="1:23" ht="13.5" customHeight="1" x14ac:dyDescent="0.25">
      <c r="A19" s="70"/>
      <c r="B19" s="1" t="s">
        <v>2</v>
      </c>
      <c r="C19" s="17">
        <v>5150</v>
      </c>
      <c r="D19" s="21">
        <v>690</v>
      </c>
      <c r="E19" s="17">
        <v>8160</v>
      </c>
      <c r="F19" s="21">
        <v>730</v>
      </c>
      <c r="G19" s="21">
        <v>730</v>
      </c>
      <c r="H19" s="21">
        <v>680</v>
      </c>
      <c r="I19" s="21">
        <v>670</v>
      </c>
      <c r="J19" s="17">
        <v>8650</v>
      </c>
      <c r="K19" s="22">
        <v>730</v>
      </c>
      <c r="M19" s="69"/>
      <c r="N19" s="40" t="s">
        <v>2</v>
      </c>
      <c r="O19" s="36">
        <v>2090</v>
      </c>
      <c r="P19" s="37">
        <v>280</v>
      </c>
      <c r="Q19" s="36">
        <v>3955</v>
      </c>
      <c r="R19" s="37">
        <v>354</v>
      </c>
      <c r="S19" s="37">
        <v>350</v>
      </c>
      <c r="T19" s="37">
        <v>215</v>
      </c>
      <c r="U19" s="37">
        <v>260</v>
      </c>
      <c r="V19" s="36">
        <v>4265</v>
      </c>
      <c r="W19" s="38">
        <v>360</v>
      </c>
    </row>
    <row r="20" spans="1:23" ht="13.5" customHeight="1" x14ac:dyDescent="0.25">
      <c r="A20" s="34"/>
      <c r="C20" s="17"/>
      <c r="D20" s="21"/>
      <c r="E20" s="17"/>
      <c r="F20" s="21"/>
      <c r="G20" s="21"/>
      <c r="H20" s="21">
        <f>H19-[1]Basis!H19</f>
        <v>0</v>
      </c>
      <c r="I20" s="21"/>
      <c r="J20" s="17"/>
      <c r="K20" s="22"/>
      <c r="M20" s="11"/>
      <c r="W20" s="12"/>
    </row>
    <row r="21" spans="1:23" ht="13.5" customHeight="1" x14ac:dyDescent="0.25">
      <c r="A21" s="68" t="s">
        <v>6</v>
      </c>
      <c r="B21" s="1" t="s">
        <v>1</v>
      </c>
      <c r="C21" s="17">
        <v>5525</v>
      </c>
      <c r="D21" s="21">
        <v>740</v>
      </c>
      <c r="E21" s="17">
        <v>8605</v>
      </c>
      <c r="F21" s="21">
        <v>770</v>
      </c>
      <c r="G21" s="21">
        <v>770</v>
      </c>
      <c r="H21" s="21">
        <v>720</v>
      </c>
      <c r="I21" s="21">
        <v>720</v>
      </c>
      <c r="J21" s="17">
        <v>9120</v>
      </c>
      <c r="K21" s="22">
        <v>770</v>
      </c>
      <c r="M21" s="65" t="s">
        <v>27</v>
      </c>
      <c r="N21" s="66"/>
      <c r="O21" s="66"/>
      <c r="P21" s="66"/>
      <c r="Q21" s="66"/>
      <c r="R21" s="66"/>
      <c r="S21" s="66"/>
      <c r="T21" s="66"/>
      <c r="U21" s="66"/>
      <c r="V21" s="66"/>
      <c r="W21" s="67"/>
    </row>
    <row r="22" spans="1:23" ht="13.5" customHeight="1" x14ac:dyDescent="0.3">
      <c r="A22" s="70"/>
      <c r="B22" s="1" t="s">
        <v>2</v>
      </c>
      <c r="C22" s="17">
        <v>5375</v>
      </c>
      <c r="D22" s="21">
        <v>720</v>
      </c>
      <c r="E22" s="17">
        <v>8385</v>
      </c>
      <c r="F22" s="21">
        <v>750</v>
      </c>
      <c r="G22" s="21">
        <v>750</v>
      </c>
      <c r="H22" s="21">
        <v>700</v>
      </c>
      <c r="I22" s="21">
        <v>700</v>
      </c>
      <c r="J22" s="17">
        <v>8890</v>
      </c>
      <c r="K22" s="22">
        <v>750</v>
      </c>
      <c r="M22" s="11"/>
      <c r="N22" s="3"/>
      <c r="W22" s="12"/>
    </row>
    <row r="23" spans="1:23" ht="13.5" customHeight="1" x14ac:dyDescent="0.3">
      <c r="A23" s="11"/>
      <c r="H23" s="21">
        <f>H22-[1]Basis!H22</f>
        <v>0</v>
      </c>
      <c r="J23" s="23"/>
      <c r="K23" s="12"/>
      <c r="M23" s="43" t="s">
        <v>15</v>
      </c>
      <c r="N23" s="1" t="s">
        <v>2</v>
      </c>
      <c r="O23" s="39">
        <v>-1.6</v>
      </c>
      <c r="P23" s="25">
        <v>-1.6</v>
      </c>
      <c r="Q23" s="39">
        <v>-0.1</v>
      </c>
      <c r="R23" s="25">
        <v>0</v>
      </c>
      <c r="S23" s="25">
        <v>0</v>
      </c>
      <c r="T23" s="25">
        <v>-1.6</v>
      </c>
      <c r="U23" s="25">
        <v>-1.6</v>
      </c>
      <c r="V23" s="39">
        <v>-0.3</v>
      </c>
      <c r="W23" s="26">
        <v>0</v>
      </c>
    </row>
    <row r="24" spans="1:23" ht="13.5" customHeight="1" x14ac:dyDescent="0.3">
      <c r="A24" s="65" t="s">
        <v>27</v>
      </c>
      <c r="B24" s="66"/>
      <c r="C24" s="66"/>
      <c r="D24" s="66"/>
      <c r="E24" s="66"/>
      <c r="F24" s="66"/>
      <c r="G24" s="66"/>
      <c r="H24" s="66"/>
      <c r="I24" s="66"/>
      <c r="J24" s="66"/>
      <c r="K24" s="67"/>
      <c r="M24" s="43"/>
      <c r="O24" s="39"/>
      <c r="P24" s="25"/>
      <c r="Q24" s="39"/>
      <c r="R24" s="25"/>
      <c r="S24" s="25"/>
      <c r="T24" s="25"/>
      <c r="U24" s="25"/>
      <c r="V24" s="39"/>
      <c r="W24" s="26"/>
    </row>
    <row r="25" spans="1:23" ht="13.5" customHeight="1" x14ac:dyDescent="0.3">
      <c r="A25" s="11"/>
      <c r="K25" s="12"/>
      <c r="M25" s="43" t="s">
        <v>16</v>
      </c>
      <c r="N25" s="1" t="s">
        <v>2</v>
      </c>
      <c r="O25" s="39">
        <v>-1.3</v>
      </c>
      <c r="P25" s="25">
        <v>-1.3</v>
      </c>
      <c r="Q25" s="39">
        <v>0</v>
      </c>
      <c r="R25" s="25">
        <v>0.1</v>
      </c>
      <c r="S25" s="25">
        <v>0</v>
      </c>
      <c r="T25" s="25">
        <v>-1.3</v>
      </c>
      <c r="U25" s="25">
        <v>-0.7</v>
      </c>
      <c r="V25" s="39">
        <v>-0.9</v>
      </c>
      <c r="W25" s="26">
        <v>-0.6</v>
      </c>
    </row>
    <row r="26" spans="1:23" ht="13.5" customHeight="1" x14ac:dyDescent="0.3">
      <c r="A26" s="35" t="s">
        <v>0</v>
      </c>
      <c r="B26" s="1" t="s">
        <v>2</v>
      </c>
      <c r="C26" s="24">
        <v>0</v>
      </c>
      <c r="D26" s="25">
        <v>0</v>
      </c>
      <c r="E26" s="24">
        <v>-0.1</v>
      </c>
      <c r="F26" s="25">
        <v>0</v>
      </c>
      <c r="G26" s="25">
        <v>0</v>
      </c>
      <c r="H26" s="25">
        <v>0</v>
      </c>
      <c r="I26" s="25">
        <v>0</v>
      </c>
      <c r="J26" s="24">
        <v>-0.2</v>
      </c>
      <c r="K26" s="26">
        <v>0</v>
      </c>
      <c r="M26" s="43"/>
      <c r="O26" s="39"/>
      <c r="P26" s="25"/>
      <c r="Q26" s="39"/>
      <c r="R26" s="25"/>
      <c r="S26" s="25"/>
      <c r="T26" s="25"/>
      <c r="U26" s="25"/>
      <c r="V26" s="39"/>
      <c r="W26" s="26"/>
    </row>
    <row r="27" spans="1:23" ht="13.5" customHeight="1" x14ac:dyDescent="0.3">
      <c r="A27" s="35"/>
      <c r="C27" s="24"/>
      <c r="D27" s="25"/>
      <c r="E27" s="24"/>
      <c r="F27" s="25"/>
      <c r="G27" s="25"/>
      <c r="H27" s="25"/>
      <c r="I27" s="25"/>
      <c r="J27" s="24"/>
      <c r="K27" s="26"/>
      <c r="M27" s="43" t="s">
        <v>17</v>
      </c>
      <c r="N27" s="1" t="s">
        <v>2</v>
      </c>
      <c r="O27" s="39">
        <v>0</v>
      </c>
      <c r="P27" s="25">
        <v>0</v>
      </c>
      <c r="Q27" s="39">
        <v>0</v>
      </c>
      <c r="R27" s="25">
        <v>0.2</v>
      </c>
      <c r="S27" s="25">
        <v>0</v>
      </c>
      <c r="T27" s="25">
        <v>0</v>
      </c>
      <c r="U27" s="25">
        <v>0</v>
      </c>
      <c r="V27" s="39">
        <v>-1.1000000000000001</v>
      </c>
      <c r="W27" s="26">
        <v>-0.8</v>
      </c>
    </row>
    <row r="28" spans="1:23" ht="13.5" customHeight="1" x14ac:dyDescent="0.3">
      <c r="A28" s="35" t="s">
        <v>3</v>
      </c>
      <c r="B28" s="1" t="s">
        <v>2</v>
      </c>
      <c r="C28" s="24">
        <v>-1.6</v>
      </c>
      <c r="D28" s="25">
        <v>-1.6</v>
      </c>
      <c r="E28" s="24">
        <v>-1.6</v>
      </c>
      <c r="F28" s="25">
        <v>-1.5</v>
      </c>
      <c r="G28" s="25">
        <v>-1.5</v>
      </c>
      <c r="H28" s="25">
        <v>-1.6</v>
      </c>
      <c r="I28" s="25">
        <v>-1.6</v>
      </c>
      <c r="J28" s="24">
        <v>-1.8</v>
      </c>
      <c r="K28" s="26">
        <v>-1.5</v>
      </c>
      <c r="M28" s="43"/>
      <c r="O28" s="39"/>
      <c r="P28" s="25"/>
      <c r="Q28" s="39"/>
      <c r="R28" s="25"/>
      <c r="S28" s="25"/>
      <c r="T28" s="25"/>
      <c r="U28" s="25"/>
      <c r="V28" s="39"/>
      <c r="W28" s="26"/>
    </row>
    <row r="29" spans="1:23" ht="13.5" customHeight="1" x14ac:dyDescent="0.3">
      <c r="A29" s="35"/>
      <c r="C29" s="24"/>
      <c r="D29" s="25"/>
      <c r="E29" s="24"/>
      <c r="F29" s="25"/>
      <c r="G29" s="25"/>
      <c r="H29" s="25"/>
      <c r="I29" s="25"/>
      <c r="J29" s="24"/>
      <c r="K29" s="26"/>
      <c r="M29" s="43" t="s">
        <v>18</v>
      </c>
      <c r="N29" s="1" t="s">
        <v>2</v>
      </c>
      <c r="O29" s="39">
        <v>0</v>
      </c>
      <c r="P29" s="25">
        <v>0</v>
      </c>
      <c r="Q29" s="39">
        <v>-0.1</v>
      </c>
      <c r="R29" s="25">
        <v>0</v>
      </c>
      <c r="S29" s="25">
        <v>0</v>
      </c>
      <c r="T29" s="25">
        <v>-2.2999999999999998</v>
      </c>
      <c r="U29" s="25">
        <v>-1.9</v>
      </c>
      <c r="V29" s="39">
        <v>-4.9000000000000004</v>
      </c>
      <c r="W29" s="26">
        <v>-4.8</v>
      </c>
    </row>
    <row r="30" spans="1:23" ht="13.5" customHeight="1" x14ac:dyDescent="0.35">
      <c r="A30" s="35" t="s">
        <v>4</v>
      </c>
      <c r="B30" s="1" t="s">
        <v>2</v>
      </c>
      <c r="C30" s="24">
        <v>0</v>
      </c>
      <c r="D30" s="25">
        <v>0</v>
      </c>
      <c r="E30" s="24">
        <v>-0.1</v>
      </c>
      <c r="F30" s="25">
        <v>0</v>
      </c>
      <c r="G30" s="25">
        <v>0</v>
      </c>
      <c r="H30" s="25">
        <v>0</v>
      </c>
      <c r="I30" s="25">
        <v>0</v>
      </c>
      <c r="J30" s="24">
        <v>-0.2</v>
      </c>
      <c r="K30" s="26">
        <v>0</v>
      </c>
      <c r="L30" s="2"/>
      <c r="M30" s="33"/>
      <c r="N30" s="28"/>
      <c r="O30" s="28"/>
      <c r="P30" s="28"/>
      <c r="Q30" s="28"/>
      <c r="R30" s="28"/>
      <c r="S30" s="28"/>
      <c r="T30" s="28"/>
      <c r="U30" s="28"/>
      <c r="V30" s="28"/>
      <c r="W30" s="29"/>
    </row>
    <row r="31" spans="1:23" ht="13.5" customHeight="1" x14ac:dyDescent="0.3">
      <c r="A31" s="35"/>
      <c r="C31" s="24"/>
      <c r="D31" s="25"/>
      <c r="E31" s="24"/>
      <c r="F31" s="25"/>
      <c r="G31" s="25"/>
      <c r="H31" s="25"/>
      <c r="I31" s="25"/>
      <c r="J31" s="24"/>
      <c r="K31" s="26"/>
      <c r="M31" s="6"/>
    </row>
    <row r="32" spans="1:23" ht="13.5" customHeight="1" x14ac:dyDescent="0.3">
      <c r="A32" s="35" t="s">
        <v>13</v>
      </c>
      <c r="B32" s="1" t="s">
        <v>2</v>
      </c>
      <c r="C32" s="24">
        <v>0</v>
      </c>
      <c r="D32" s="25">
        <v>0</v>
      </c>
      <c r="E32" s="24">
        <v>-0.1</v>
      </c>
      <c r="F32" s="25">
        <v>0</v>
      </c>
      <c r="G32" s="25">
        <v>0</v>
      </c>
      <c r="H32" s="25">
        <v>0</v>
      </c>
      <c r="I32" s="25">
        <v>0</v>
      </c>
      <c r="J32" s="24">
        <v>-0.3</v>
      </c>
      <c r="K32" s="26">
        <v>0</v>
      </c>
      <c r="M32" s="6"/>
    </row>
    <row r="33" spans="1:23" ht="13.5" customHeight="1" x14ac:dyDescent="0.3">
      <c r="A33" s="35"/>
      <c r="C33" s="24"/>
      <c r="D33" s="25"/>
      <c r="E33" s="24"/>
      <c r="F33" s="25"/>
      <c r="G33" s="25"/>
      <c r="H33" s="25"/>
      <c r="I33" s="25"/>
      <c r="J33" s="24"/>
      <c r="K33" s="26"/>
      <c r="M33" s="6"/>
    </row>
    <row r="34" spans="1:23" ht="13.5" customHeight="1" x14ac:dyDescent="0.3">
      <c r="A34" s="35" t="s">
        <v>14</v>
      </c>
      <c r="B34" s="1" t="s">
        <v>2</v>
      </c>
      <c r="C34" s="24">
        <v>0</v>
      </c>
      <c r="D34" s="25">
        <v>0</v>
      </c>
      <c r="E34" s="24">
        <v>-0.1</v>
      </c>
      <c r="F34" s="25">
        <v>0</v>
      </c>
      <c r="G34" s="25">
        <v>0</v>
      </c>
      <c r="H34" s="25">
        <v>0</v>
      </c>
      <c r="I34" s="25">
        <v>0</v>
      </c>
      <c r="J34" s="24">
        <v>-0.2</v>
      </c>
      <c r="K34" s="26">
        <v>0</v>
      </c>
      <c r="M34" s="3"/>
    </row>
    <row r="35" spans="1:23" ht="13.5" customHeight="1" x14ac:dyDescent="0.3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9"/>
      <c r="M35" s="3"/>
      <c r="N35" s="3"/>
      <c r="O35" s="4"/>
      <c r="P35" s="5"/>
      <c r="Q35" s="4"/>
      <c r="R35" s="5"/>
      <c r="S35" s="5"/>
      <c r="T35" s="5"/>
      <c r="U35" s="5"/>
      <c r="V35" s="4"/>
      <c r="W35" s="5"/>
    </row>
    <row r="38" spans="1:23" ht="13" x14ac:dyDescent="0.3">
      <c r="A38" s="7" t="s">
        <v>33</v>
      </c>
    </row>
    <row r="39" spans="1:23" ht="13" x14ac:dyDescent="0.3">
      <c r="A39" s="8" t="s">
        <v>34</v>
      </c>
    </row>
  </sheetData>
  <mergeCells count="13">
    <mergeCell ref="A4:K4"/>
    <mergeCell ref="A24:K24"/>
    <mergeCell ref="M9:M10"/>
    <mergeCell ref="M12:M13"/>
    <mergeCell ref="M15:M16"/>
    <mergeCell ref="A9:A10"/>
    <mergeCell ref="A12:A13"/>
    <mergeCell ref="A15:A16"/>
    <mergeCell ref="A18:A19"/>
    <mergeCell ref="A21:A22"/>
    <mergeCell ref="M4:W4"/>
    <mergeCell ref="M21:W21"/>
    <mergeCell ref="M18:M19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topLeftCell="A16" zoomScale="90" zoomScaleNormal="90" workbookViewId="0">
      <selection activeCell="H46" sqref="H46"/>
    </sheetView>
  </sheetViews>
  <sheetFormatPr baseColWidth="10" defaultColWidth="9.08984375" defaultRowHeight="12.5" x14ac:dyDescent="0.25"/>
  <cols>
    <col min="1" max="1" width="18.453125" style="1" customWidth="1"/>
    <col min="2" max="2" width="6" style="1" customWidth="1"/>
    <col min="3" max="7" width="12.90625" style="1" hidden="1" customWidth="1"/>
    <col min="8" max="12" width="12.90625" style="1" customWidth="1"/>
    <col min="13" max="16384" width="9.08984375" style="1"/>
  </cols>
  <sheetData>
    <row r="1" spans="1:12" ht="20" x14ac:dyDescent="0.4">
      <c r="A1" s="41" t="s">
        <v>32</v>
      </c>
    </row>
    <row r="2" spans="1:12" ht="13" x14ac:dyDescent="0.3">
      <c r="A2" s="42">
        <v>45881</v>
      </c>
    </row>
    <row r="4" spans="1:12" ht="17" customHeight="1" x14ac:dyDescent="0.35">
      <c r="A4" s="75" t="s">
        <v>19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7"/>
    </row>
    <row r="5" spans="1:12" ht="14.4" customHeight="1" x14ac:dyDescent="0.35">
      <c r="A5" s="78" t="s">
        <v>28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2" ht="13.4" customHeight="1" x14ac:dyDescent="0.35">
      <c r="A6" s="11"/>
      <c r="L6" s="44"/>
    </row>
    <row r="7" spans="1:12" ht="13" x14ac:dyDescent="0.3">
      <c r="A7" s="49" t="s">
        <v>40</v>
      </c>
      <c r="C7" s="14" t="s">
        <v>7</v>
      </c>
      <c r="D7" s="15" t="s">
        <v>7</v>
      </c>
      <c r="E7" s="14" t="s">
        <v>8</v>
      </c>
      <c r="F7" s="15" t="s">
        <v>8</v>
      </c>
      <c r="G7" s="15" t="s">
        <v>9</v>
      </c>
      <c r="H7" s="15" t="s">
        <v>10</v>
      </c>
      <c r="I7" s="15" t="s">
        <v>11</v>
      </c>
      <c r="J7" s="14" t="s">
        <v>12</v>
      </c>
      <c r="K7" s="15" t="s">
        <v>12</v>
      </c>
      <c r="L7" s="59" t="s">
        <v>41</v>
      </c>
    </row>
    <row r="8" spans="1:12" s="3" customFormat="1" ht="13" x14ac:dyDescent="0.3">
      <c r="A8" s="50"/>
      <c r="C8" s="17" t="s">
        <v>36</v>
      </c>
      <c r="D8" s="18" t="s">
        <v>37</v>
      </c>
      <c r="E8" s="17" t="s">
        <v>38</v>
      </c>
      <c r="F8" s="18" t="s">
        <v>37</v>
      </c>
      <c r="G8" s="18" t="s">
        <v>37</v>
      </c>
      <c r="H8" s="18" t="s">
        <v>37</v>
      </c>
      <c r="I8" s="18" t="s">
        <v>37</v>
      </c>
      <c r="J8" s="17" t="s">
        <v>39</v>
      </c>
      <c r="K8" s="18" t="s">
        <v>37</v>
      </c>
      <c r="L8" s="19" t="s">
        <v>37</v>
      </c>
    </row>
    <row r="9" spans="1:12" ht="13.4" customHeight="1" x14ac:dyDescent="0.25">
      <c r="A9" s="51"/>
      <c r="C9" s="60"/>
      <c r="D9" s="47"/>
      <c r="E9" s="61"/>
      <c r="F9" s="47"/>
      <c r="G9" s="47"/>
      <c r="H9" s="47"/>
      <c r="I9" s="47"/>
      <c r="J9" s="60"/>
      <c r="K9" s="47"/>
      <c r="L9" s="54"/>
    </row>
    <row r="10" spans="1:12" x14ac:dyDescent="0.25">
      <c r="A10" s="74" t="s">
        <v>0</v>
      </c>
      <c r="B10" s="48" t="s">
        <v>1</v>
      </c>
      <c r="C10" s="17">
        <v>4562</v>
      </c>
      <c r="D10" s="18">
        <v>611</v>
      </c>
      <c r="E10" s="17">
        <v>7280</v>
      </c>
      <c r="F10" s="18">
        <v>651</v>
      </c>
      <c r="G10" s="18">
        <v>651</v>
      </c>
      <c r="H10" s="18">
        <v>601</v>
      </c>
      <c r="I10" s="18">
        <v>591</v>
      </c>
      <c r="J10" s="17">
        <v>7714</v>
      </c>
      <c r="K10" s="18">
        <v>651</v>
      </c>
      <c r="L10" s="19">
        <v>641</v>
      </c>
    </row>
    <row r="11" spans="1:12" x14ac:dyDescent="0.25">
      <c r="A11" s="74"/>
      <c r="B11" s="48" t="s">
        <v>2</v>
      </c>
      <c r="C11" s="17">
        <v>4412</v>
      </c>
      <c r="D11" s="18">
        <v>591</v>
      </c>
      <c r="E11" s="17">
        <v>7055</v>
      </c>
      <c r="F11" s="18">
        <v>631</v>
      </c>
      <c r="G11" s="18">
        <v>631</v>
      </c>
      <c r="H11" s="18">
        <v>576</v>
      </c>
      <c r="I11" s="18">
        <v>571</v>
      </c>
      <c r="J11" s="17">
        <v>7479</v>
      </c>
      <c r="K11" s="18">
        <v>631</v>
      </c>
      <c r="L11" s="19">
        <v>621</v>
      </c>
    </row>
    <row r="12" spans="1:12" ht="13" x14ac:dyDescent="0.25">
      <c r="A12" s="52"/>
      <c r="B12" s="48"/>
      <c r="C12" s="17"/>
      <c r="D12" s="18"/>
      <c r="E12" s="17"/>
      <c r="F12" s="18"/>
      <c r="G12" s="18"/>
      <c r="H12" s="18"/>
      <c r="I12" s="18"/>
      <c r="J12" s="17"/>
      <c r="K12" s="18"/>
      <c r="L12" s="19"/>
    </row>
    <row r="13" spans="1:12" x14ac:dyDescent="0.25">
      <c r="A13" s="74" t="s">
        <v>3</v>
      </c>
      <c r="B13" s="48" t="s">
        <v>1</v>
      </c>
      <c r="C13" s="17">
        <v>4962</v>
      </c>
      <c r="D13" s="18">
        <v>665</v>
      </c>
      <c r="E13" s="17">
        <v>7883</v>
      </c>
      <c r="F13" s="18">
        <v>705</v>
      </c>
      <c r="G13" s="18">
        <v>695</v>
      </c>
      <c r="H13" s="18">
        <v>665</v>
      </c>
      <c r="I13" s="18">
        <v>655</v>
      </c>
      <c r="J13" s="17">
        <v>8353</v>
      </c>
      <c r="K13" s="18">
        <v>705</v>
      </c>
      <c r="L13" s="19">
        <v>693</v>
      </c>
    </row>
    <row r="14" spans="1:12" x14ac:dyDescent="0.25">
      <c r="A14" s="74"/>
      <c r="B14" s="48" t="s">
        <v>2</v>
      </c>
      <c r="C14" s="17">
        <v>4737</v>
      </c>
      <c r="D14" s="18">
        <v>635</v>
      </c>
      <c r="E14" s="17">
        <v>7658</v>
      </c>
      <c r="F14" s="18">
        <v>685</v>
      </c>
      <c r="G14" s="18">
        <v>675</v>
      </c>
      <c r="H14" s="18">
        <v>635</v>
      </c>
      <c r="I14" s="18">
        <v>625</v>
      </c>
      <c r="J14" s="17">
        <v>7998</v>
      </c>
      <c r="K14" s="18">
        <v>675</v>
      </c>
      <c r="L14" s="19">
        <v>668</v>
      </c>
    </row>
    <row r="15" spans="1:12" ht="13" x14ac:dyDescent="0.25">
      <c r="A15" s="52"/>
      <c r="B15" s="48"/>
      <c r="C15" s="17"/>
      <c r="D15" s="18"/>
      <c r="E15" s="17"/>
      <c r="F15" s="18"/>
      <c r="G15" s="18"/>
      <c r="H15" s="18"/>
      <c r="I15" s="18"/>
      <c r="J15" s="17"/>
      <c r="K15" s="18"/>
      <c r="L15" s="19"/>
    </row>
    <row r="16" spans="1:12" x14ac:dyDescent="0.25">
      <c r="A16" s="74" t="s">
        <v>4</v>
      </c>
      <c r="B16" s="48" t="s">
        <v>1</v>
      </c>
      <c r="C16" s="17">
        <v>5269</v>
      </c>
      <c r="D16" s="18">
        <v>706</v>
      </c>
      <c r="E16" s="17">
        <v>8344</v>
      </c>
      <c r="F16" s="18">
        <v>746</v>
      </c>
      <c r="G16" s="18">
        <v>746</v>
      </c>
      <c r="H16" s="18">
        <v>696</v>
      </c>
      <c r="I16" s="18">
        <v>686</v>
      </c>
      <c r="J16" s="17">
        <v>8840</v>
      </c>
      <c r="K16" s="18">
        <v>746</v>
      </c>
      <c r="L16" s="19">
        <v>736</v>
      </c>
    </row>
    <row r="17" spans="1:12" x14ac:dyDescent="0.25">
      <c r="A17" s="74"/>
      <c r="B17" s="48" t="s">
        <v>2</v>
      </c>
      <c r="C17" s="17">
        <v>5119</v>
      </c>
      <c r="D17" s="18">
        <v>686</v>
      </c>
      <c r="E17" s="17">
        <v>8119</v>
      </c>
      <c r="F17" s="18">
        <v>726</v>
      </c>
      <c r="G17" s="18">
        <v>726</v>
      </c>
      <c r="H17" s="18">
        <v>676</v>
      </c>
      <c r="I17" s="18">
        <v>666</v>
      </c>
      <c r="J17" s="17">
        <v>8605</v>
      </c>
      <c r="K17" s="18">
        <v>726</v>
      </c>
      <c r="L17" s="19">
        <v>716</v>
      </c>
    </row>
    <row r="18" spans="1:12" ht="13" x14ac:dyDescent="0.25">
      <c r="A18" s="52"/>
      <c r="B18" s="48"/>
      <c r="C18" s="17"/>
      <c r="D18" s="18"/>
      <c r="E18" s="17"/>
      <c r="F18" s="18"/>
      <c r="G18" s="18"/>
      <c r="H18" s="18"/>
      <c r="I18" s="18"/>
      <c r="J18" s="17"/>
      <c r="K18" s="18"/>
      <c r="L18" s="19"/>
    </row>
    <row r="19" spans="1:12" ht="12.75" customHeight="1" x14ac:dyDescent="0.25">
      <c r="A19" s="74" t="s">
        <v>5</v>
      </c>
      <c r="B19" s="48" t="s">
        <v>1</v>
      </c>
      <c r="C19" s="17">
        <v>5860</v>
      </c>
      <c r="D19" s="18">
        <v>785</v>
      </c>
      <c r="E19" s="17">
        <v>9224</v>
      </c>
      <c r="F19" s="18">
        <v>825</v>
      </c>
      <c r="G19" s="18">
        <v>825</v>
      </c>
      <c r="H19" s="18">
        <v>775</v>
      </c>
      <c r="I19" s="18">
        <v>765</v>
      </c>
      <c r="J19" s="17">
        <v>9774</v>
      </c>
      <c r="K19" s="18">
        <v>825</v>
      </c>
      <c r="L19" s="19">
        <v>815</v>
      </c>
    </row>
    <row r="20" spans="1:12" x14ac:dyDescent="0.25">
      <c r="A20" s="74"/>
      <c r="B20" s="48" t="s">
        <v>2</v>
      </c>
      <c r="C20" s="17">
        <v>5710</v>
      </c>
      <c r="D20" s="18">
        <v>765</v>
      </c>
      <c r="E20" s="17">
        <v>8999</v>
      </c>
      <c r="F20" s="18">
        <v>805</v>
      </c>
      <c r="G20" s="18">
        <v>805</v>
      </c>
      <c r="H20" s="18">
        <v>755</v>
      </c>
      <c r="I20" s="18">
        <v>745</v>
      </c>
      <c r="J20" s="17">
        <v>9539</v>
      </c>
      <c r="K20" s="18">
        <v>805</v>
      </c>
      <c r="L20" s="19">
        <v>795</v>
      </c>
    </row>
    <row r="21" spans="1:12" ht="13" x14ac:dyDescent="0.25">
      <c r="A21" s="52"/>
      <c r="B21" s="48"/>
      <c r="C21" s="17"/>
      <c r="D21" s="18"/>
      <c r="E21" s="17"/>
      <c r="F21" s="18"/>
      <c r="G21" s="18"/>
      <c r="H21" s="18"/>
      <c r="I21" s="18"/>
      <c r="J21" s="17"/>
      <c r="K21" s="18"/>
      <c r="L21" s="19"/>
    </row>
    <row r="22" spans="1:12" ht="12.75" customHeight="1" x14ac:dyDescent="0.25">
      <c r="A22" s="74" t="s">
        <v>6</v>
      </c>
      <c r="B22" s="48" t="s">
        <v>1</v>
      </c>
      <c r="C22" s="17">
        <v>6219</v>
      </c>
      <c r="D22" s="18">
        <v>833</v>
      </c>
      <c r="E22" s="17">
        <v>9645</v>
      </c>
      <c r="F22" s="18">
        <v>863</v>
      </c>
      <c r="G22" s="18">
        <v>863</v>
      </c>
      <c r="H22" s="18">
        <v>813</v>
      </c>
      <c r="I22" s="18">
        <v>813</v>
      </c>
      <c r="J22" s="17">
        <v>10222</v>
      </c>
      <c r="K22" s="18">
        <v>863</v>
      </c>
      <c r="L22" s="19">
        <v>856</v>
      </c>
    </row>
    <row r="23" spans="1:12" x14ac:dyDescent="0.25">
      <c r="A23" s="74"/>
      <c r="B23" s="48" t="s">
        <v>2</v>
      </c>
      <c r="C23" s="17">
        <v>6069</v>
      </c>
      <c r="D23" s="18">
        <v>813</v>
      </c>
      <c r="E23" s="17">
        <v>9425</v>
      </c>
      <c r="F23" s="18">
        <v>843</v>
      </c>
      <c r="G23" s="18">
        <v>843</v>
      </c>
      <c r="H23" s="18">
        <v>793</v>
      </c>
      <c r="I23" s="18">
        <v>793</v>
      </c>
      <c r="J23" s="17">
        <v>9992</v>
      </c>
      <c r="K23" s="18">
        <v>843</v>
      </c>
      <c r="L23" s="19">
        <v>836</v>
      </c>
    </row>
    <row r="24" spans="1:12" x14ac:dyDescent="0.25">
      <c r="A24" s="27"/>
      <c r="B24" s="28"/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ht="12.75" customHeight="1" x14ac:dyDescent="0.25">
      <c r="A25" s="45"/>
      <c r="B25" s="46"/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ht="13" x14ac:dyDescent="0.3">
      <c r="A26" s="49" t="s">
        <v>29</v>
      </c>
      <c r="C26" s="14" t="s">
        <v>7</v>
      </c>
      <c r="D26" s="15" t="s">
        <v>7</v>
      </c>
      <c r="E26" s="14" t="s">
        <v>8</v>
      </c>
      <c r="F26" s="15" t="s">
        <v>8</v>
      </c>
      <c r="G26" s="15" t="s">
        <v>9</v>
      </c>
      <c r="H26" s="15" t="s">
        <v>10</v>
      </c>
      <c r="I26" s="15" t="s">
        <v>11</v>
      </c>
      <c r="J26" s="14" t="s">
        <v>12</v>
      </c>
      <c r="K26" s="15" t="s">
        <v>12</v>
      </c>
      <c r="L26" s="59" t="s">
        <v>41</v>
      </c>
    </row>
    <row r="27" spans="1:12" x14ac:dyDescent="0.25">
      <c r="A27" s="50"/>
      <c r="C27" s="17" t="s">
        <v>36</v>
      </c>
      <c r="D27" s="18" t="s">
        <v>37</v>
      </c>
      <c r="E27" s="17" t="s">
        <v>38</v>
      </c>
      <c r="F27" s="18" t="s">
        <v>37</v>
      </c>
      <c r="G27" s="18" t="s">
        <v>37</v>
      </c>
      <c r="H27" s="18" t="s">
        <v>37</v>
      </c>
      <c r="I27" s="18" t="s">
        <v>37</v>
      </c>
      <c r="J27" s="17" t="s">
        <v>39</v>
      </c>
      <c r="K27" s="18" t="s">
        <v>37</v>
      </c>
      <c r="L27" s="19" t="s">
        <v>37</v>
      </c>
    </row>
    <row r="28" spans="1:12" ht="12.75" customHeight="1" x14ac:dyDescent="0.25">
      <c r="A28" s="51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13" x14ac:dyDescent="0.25">
      <c r="A29" s="53" t="s">
        <v>15</v>
      </c>
      <c r="B29" s="1" t="s">
        <v>1</v>
      </c>
      <c r="C29" s="17">
        <v>4700</v>
      </c>
      <c r="D29" s="18">
        <v>630</v>
      </c>
      <c r="E29" s="17">
        <v>7320</v>
      </c>
      <c r="F29" s="18">
        <v>655</v>
      </c>
      <c r="G29" s="18">
        <v>655</v>
      </c>
      <c r="H29" s="18">
        <v>630</v>
      </c>
      <c r="I29" s="18">
        <v>625</v>
      </c>
      <c r="J29" s="17">
        <v>7755</v>
      </c>
      <c r="K29" s="18">
        <v>654</v>
      </c>
      <c r="L29" s="19">
        <v>649</v>
      </c>
    </row>
    <row r="30" spans="1:12" ht="13.4" customHeight="1" x14ac:dyDescent="0.25">
      <c r="A30" s="53" t="s">
        <v>31</v>
      </c>
      <c r="B30" s="1" t="s">
        <v>2</v>
      </c>
      <c r="C30" s="17">
        <v>4550</v>
      </c>
      <c r="D30" s="18">
        <v>610</v>
      </c>
      <c r="E30" s="17">
        <v>7100</v>
      </c>
      <c r="F30" s="18">
        <v>635</v>
      </c>
      <c r="G30" s="18">
        <v>635</v>
      </c>
      <c r="H30" s="18">
        <v>610</v>
      </c>
      <c r="I30" s="18">
        <v>605</v>
      </c>
      <c r="J30" s="17">
        <v>7525</v>
      </c>
      <c r="K30" s="18">
        <v>635</v>
      </c>
      <c r="L30" s="19">
        <v>629</v>
      </c>
    </row>
    <row r="31" spans="1:12" ht="13" x14ac:dyDescent="0.25">
      <c r="A31" s="52"/>
      <c r="C31" s="17"/>
      <c r="D31" s="18"/>
      <c r="E31" s="17"/>
      <c r="F31" s="18"/>
      <c r="G31" s="18"/>
      <c r="H31" s="18"/>
      <c r="I31" s="18"/>
      <c r="J31" s="17"/>
      <c r="K31" s="18"/>
      <c r="L31" s="19"/>
    </row>
    <row r="32" spans="1:12" x14ac:dyDescent="0.25">
      <c r="A32" s="74" t="s">
        <v>20</v>
      </c>
      <c r="B32" s="1" t="s">
        <v>1</v>
      </c>
      <c r="C32" s="17">
        <v>5745</v>
      </c>
      <c r="D32" s="18">
        <v>770</v>
      </c>
      <c r="E32" s="17">
        <v>9175</v>
      </c>
      <c r="F32" s="18">
        <v>821</v>
      </c>
      <c r="G32" s="18">
        <v>810</v>
      </c>
      <c r="H32" s="18">
        <v>755</v>
      </c>
      <c r="I32" s="18">
        <v>775</v>
      </c>
      <c r="J32" s="17">
        <v>9715</v>
      </c>
      <c r="K32" s="18">
        <v>820</v>
      </c>
      <c r="L32" s="19">
        <v>805</v>
      </c>
    </row>
    <row r="33" spans="1:12" x14ac:dyDescent="0.25">
      <c r="A33" s="73"/>
      <c r="B33" s="1" t="s">
        <v>2</v>
      </c>
      <c r="C33" s="17">
        <v>5595</v>
      </c>
      <c r="D33" s="18">
        <v>750</v>
      </c>
      <c r="E33" s="17">
        <v>8950</v>
      </c>
      <c r="F33" s="18">
        <v>801</v>
      </c>
      <c r="G33" s="18">
        <v>790</v>
      </c>
      <c r="H33" s="18">
        <v>735</v>
      </c>
      <c r="I33" s="18">
        <v>755</v>
      </c>
      <c r="J33" s="17">
        <v>9360</v>
      </c>
      <c r="K33" s="18">
        <v>790</v>
      </c>
      <c r="L33" s="19">
        <v>783</v>
      </c>
    </row>
    <row r="34" spans="1:12" ht="13.4" customHeight="1" x14ac:dyDescent="0.25">
      <c r="A34" s="52"/>
      <c r="C34" s="17"/>
      <c r="D34" s="18"/>
      <c r="E34" s="17"/>
      <c r="F34" s="18"/>
      <c r="G34" s="18"/>
      <c r="H34" s="18"/>
      <c r="I34" s="18"/>
      <c r="J34" s="17"/>
      <c r="K34" s="18"/>
      <c r="L34" s="19"/>
    </row>
    <row r="35" spans="1:12" ht="12.75" customHeight="1" x14ac:dyDescent="0.25">
      <c r="A35" s="74" t="s">
        <v>21</v>
      </c>
      <c r="B35" s="1" t="s">
        <v>1</v>
      </c>
      <c r="C35" s="17">
        <v>5894</v>
      </c>
      <c r="D35" s="18">
        <v>790</v>
      </c>
      <c r="E35" s="17">
        <v>9399</v>
      </c>
      <c r="F35" s="18">
        <v>841</v>
      </c>
      <c r="G35" s="18">
        <v>830</v>
      </c>
      <c r="H35" s="18">
        <v>775</v>
      </c>
      <c r="I35" s="18">
        <v>795</v>
      </c>
      <c r="J35" s="17">
        <v>9952</v>
      </c>
      <c r="K35" s="18">
        <v>840</v>
      </c>
      <c r="L35" s="19">
        <v>825</v>
      </c>
    </row>
    <row r="36" spans="1:12" ht="13.25" customHeight="1" x14ac:dyDescent="0.25">
      <c r="A36" s="73"/>
      <c r="B36" s="1" t="s">
        <v>2</v>
      </c>
      <c r="C36" s="17">
        <v>5744</v>
      </c>
      <c r="D36" s="18">
        <v>770</v>
      </c>
      <c r="E36" s="17">
        <v>9174</v>
      </c>
      <c r="F36" s="18">
        <v>821</v>
      </c>
      <c r="G36" s="18">
        <v>810</v>
      </c>
      <c r="H36" s="18">
        <v>755</v>
      </c>
      <c r="I36" s="18">
        <v>775</v>
      </c>
      <c r="J36" s="17">
        <v>9597</v>
      </c>
      <c r="K36" s="18">
        <v>810</v>
      </c>
      <c r="L36" s="19">
        <v>803</v>
      </c>
    </row>
    <row r="37" spans="1:12" ht="13" x14ac:dyDescent="0.25">
      <c r="A37" s="52"/>
      <c r="C37" s="17"/>
      <c r="D37" s="18"/>
      <c r="E37" s="17"/>
      <c r="F37" s="18"/>
      <c r="G37" s="18"/>
      <c r="H37" s="18">
        <f>H36-[1]Transaction!H36</f>
        <v>-10</v>
      </c>
      <c r="I37" s="18"/>
      <c r="J37" s="17"/>
      <c r="K37" s="18"/>
      <c r="L37" s="19"/>
    </row>
    <row r="38" spans="1:12" ht="12.75" customHeight="1" x14ac:dyDescent="0.25">
      <c r="A38" s="74" t="s">
        <v>22</v>
      </c>
      <c r="B38" s="1" t="s">
        <v>1</v>
      </c>
      <c r="C38" s="17">
        <v>4815</v>
      </c>
      <c r="D38" s="18">
        <v>645</v>
      </c>
      <c r="E38" s="17">
        <v>7110</v>
      </c>
      <c r="F38" s="18">
        <v>636</v>
      </c>
      <c r="G38" s="18">
        <v>630</v>
      </c>
      <c r="H38" s="18">
        <v>660</v>
      </c>
      <c r="I38" s="18">
        <v>640</v>
      </c>
      <c r="J38" s="17">
        <v>7525</v>
      </c>
      <c r="K38" s="18">
        <v>635</v>
      </c>
      <c r="L38" s="19">
        <v>637</v>
      </c>
    </row>
    <row r="39" spans="1:12" x14ac:dyDescent="0.25">
      <c r="A39" s="73"/>
      <c r="B39" s="1" t="s">
        <v>2</v>
      </c>
      <c r="C39" s="17">
        <v>4665</v>
      </c>
      <c r="D39" s="18">
        <v>625</v>
      </c>
      <c r="E39" s="17">
        <v>6885</v>
      </c>
      <c r="F39" s="18">
        <v>616</v>
      </c>
      <c r="G39" s="18">
        <v>610</v>
      </c>
      <c r="H39" s="18">
        <v>640</v>
      </c>
      <c r="I39" s="18">
        <v>620</v>
      </c>
      <c r="J39" s="17">
        <v>7170</v>
      </c>
      <c r="K39" s="18">
        <v>605</v>
      </c>
      <c r="L39" s="19">
        <v>614</v>
      </c>
    </row>
    <row r="40" spans="1:12" ht="13" x14ac:dyDescent="0.25">
      <c r="A40" s="52"/>
      <c r="C40" s="17"/>
      <c r="D40" s="18"/>
      <c r="E40" s="17"/>
      <c r="F40" s="18"/>
      <c r="G40" s="18"/>
      <c r="H40" s="18">
        <f>H39-[1]Transaction!H39</f>
        <v>0</v>
      </c>
      <c r="I40" s="18"/>
      <c r="J40" s="17"/>
      <c r="K40" s="18"/>
      <c r="L40" s="19"/>
    </row>
    <row r="41" spans="1:12" ht="12.75" customHeight="1" x14ac:dyDescent="0.25">
      <c r="A41" s="72" t="s">
        <v>23</v>
      </c>
      <c r="B41" s="1" t="s">
        <v>1</v>
      </c>
      <c r="C41" s="17">
        <v>5412</v>
      </c>
      <c r="D41" s="18">
        <v>725</v>
      </c>
      <c r="E41" s="17">
        <v>8932</v>
      </c>
      <c r="F41" s="18">
        <v>799</v>
      </c>
      <c r="G41" s="18">
        <v>795</v>
      </c>
      <c r="H41" s="18">
        <v>660</v>
      </c>
      <c r="I41" s="18">
        <v>705</v>
      </c>
      <c r="J41" s="17">
        <v>9536</v>
      </c>
      <c r="K41" s="18">
        <v>805</v>
      </c>
      <c r="L41" s="19">
        <v>781</v>
      </c>
    </row>
    <row r="42" spans="1:12" x14ac:dyDescent="0.25">
      <c r="A42" s="73"/>
      <c r="B42" s="1" t="s">
        <v>2</v>
      </c>
      <c r="C42" s="17">
        <v>5262</v>
      </c>
      <c r="D42" s="18">
        <v>705</v>
      </c>
      <c r="E42" s="17">
        <v>8707</v>
      </c>
      <c r="F42" s="18">
        <v>779</v>
      </c>
      <c r="G42" s="18">
        <v>775</v>
      </c>
      <c r="H42" s="18">
        <v>640</v>
      </c>
      <c r="I42" s="18">
        <v>685</v>
      </c>
      <c r="J42" s="17">
        <v>9301</v>
      </c>
      <c r="K42" s="18">
        <v>785</v>
      </c>
      <c r="L42" s="19">
        <v>761</v>
      </c>
    </row>
    <row r="43" spans="1:12" ht="13" x14ac:dyDescent="0.25">
      <c r="A43" s="52"/>
      <c r="C43" s="17"/>
      <c r="D43" s="18"/>
      <c r="E43" s="17"/>
      <c r="F43" s="18"/>
      <c r="G43" s="18"/>
      <c r="H43" s="18"/>
      <c r="I43" s="18"/>
      <c r="J43" s="17"/>
      <c r="K43" s="18"/>
      <c r="L43" s="19"/>
    </row>
    <row r="44" spans="1:12" ht="12.75" customHeight="1" x14ac:dyDescent="0.25">
      <c r="A44" s="72" t="s">
        <v>24</v>
      </c>
      <c r="B44" s="1" t="s">
        <v>1</v>
      </c>
      <c r="C44" s="17">
        <v>5374</v>
      </c>
      <c r="D44" s="18">
        <v>720</v>
      </c>
      <c r="E44" s="17">
        <v>8876</v>
      </c>
      <c r="F44" s="18">
        <v>794</v>
      </c>
      <c r="G44" s="18">
        <v>790</v>
      </c>
      <c r="H44" s="18">
        <v>655</v>
      </c>
      <c r="I44" s="18">
        <v>700</v>
      </c>
      <c r="J44" s="17">
        <v>9477</v>
      </c>
      <c r="K44" s="18">
        <v>800</v>
      </c>
      <c r="L44" s="19">
        <v>776</v>
      </c>
    </row>
    <row r="45" spans="1:12" x14ac:dyDescent="0.25">
      <c r="A45" s="73"/>
      <c r="B45" s="1" t="s">
        <v>2</v>
      </c>
      <c r="C45" s="17">
        <v>5224</v>
      </c>
      <c r="D45" s="18">
        <v>700</v>
      </c>
      <c r="E45" s="17">
        <v>8651</v>
      </c>
      <c r="F45" s="18">
        <v>774</v>
      </c>
      <c r="G45" s="18">
        <v>770</v>
      </c>
      <c r="H45" s="18">
        <v>635</v>
      </c>
      <c r="I45" s="18">
        <v>680</v>
      </c>
      <c r="J45" s="17">
        <v>9242</v>
      </c>
      <c r="K45" s="18">
        <v>780</v>
      </c>
      <c r="L45" s="19">
        <v>756</v>
      </c>
    </row>
    <row r="46" spans="1:12" x14ac:dyDescent="0.25">
      <c r="A46" s="27"/>
      <c r="B46" s="28"/>
      <c r="C46" s="28"/>
      <c r="D46" s="28"/>
      <c r="E46" s="28"/>
      <c r="F46" s="28"/>
      <c r="G46" s="28"/>
      <c r="H46" s="18">
        <f>H45-[1]Transaction!H45</f>
        <v>-5</v>
      </c>
      <c r="I46" s="28"/>
      <c r="J46" s="28"/>
      <c r="K46" s="28"/>
      <c r="L46" s="29"/>
    </row>
    <row r="49" spans="1:1" ht="13" x14ac:dyDescent="0.3">
      <c r="A49" s="7" t="s">
        <v>33</v>
      </c>
    </row>
    <row r="50" spans="1:1" ht="12.75" customHeight="1" x14ac:dyDescent="0.3">
      <c r="A50" s="8" t="s">
        <v>34</v>
      </c>
    </row>
    <row r="53" spans="1:1" ht="12.75" customHeight="1" x14ac:dyDescent="0.25"/>
  </sheetData>
  <mergeCells count="12">
    <mergeCell ref="A16:A17"/>
    <mergeCell ref="A19:A20"/>
    <mergeCell ref="A22:A23"/>
    <mergeCell ref="A4:L4"/>
    <mergeCell ref="A5:L5"/>
    <mergeCell ref="A10:A11"/>
    <mergeCell ref="A13:A14"/>
    <mergeCell ref="A41:A42"/>
    <mergeCell ref="A44:A45"/>
    <mergeCell ref="A32:A33"/>
    <mergeCell ref="A35:A36"/>
    <mergeCell ref="A38:A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Basis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Platt</dc:creator>
  <cp:lastModifiedBy>Puaud, Frédéric</cp:lastModifiedBy>
  <cp:lastPrinted>2022-07-11T15:54:37Z</cp:lastPrinted>
  <dcterms:created xsi:type="dcterms:W3CDTF">2015-09-03T11:20:21Z</dcterms:created>
  <dcterms:modified xsi:type="dcterms:W3CDTF">2025-08-12T11:59:28Z</dcterms:modified>
</cp:coreProperties>
</file>