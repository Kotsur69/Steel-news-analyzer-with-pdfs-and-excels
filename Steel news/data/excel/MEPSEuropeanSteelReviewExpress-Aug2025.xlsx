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17" documentId="13_ncr:1_{0175F121-FD65-4DF2-80E8-B92931905FFF}" xr6:coauthVersionLast="47" xr6:coauthVersionMax="47" xr10:uidLastSave="{28D71021-128C-4CBB-A67D-6A35E7BB24AC}"/>
  <bookViews>
    <workbookView xWindow="-110" yWindow="-110" windowWidth="19420" windowHeight="10300" xr2:uid="{00000000-000D-0000-FFFF-FFFF00000000}"/>
  </bookViews>
  <sheets>
    <sheet name="Basis" sheetId="2" r:id="rId1"/>
    <sheet name="Transaction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0" i="2" l="1"/>
  <c r="R17" i="2"/>
  <c r="R14" i="2"/>
  <c r="I49" i="4" l="1"/>
  <c r="H49" i="4"/>
  <c r="G49" i="4"/>
  <c r="F49" i="4"/>
  <c r="E49" i="4"/>
  <c r="D49" i="4"/>
  <c r="C49" i="4"/>
  <c r="I43" i="4"/>
  <c r="H43" i="4"/>
  <c r="G43" i="4"/>
  <c r="F43" i="4"/>
  <c r="E43" i="4"/>
  <c r="D43" i="4"/>
  <c r="C43" i="4"/>
  <c r="I40" i="4"/>
  <c r="H40" i="4"/>
  <c r="G40" i="4"/>
  <c r="F40" i="4"/>
  <c r="E40" i="4"/>
  <c r="D40" i="4"/>
  <c r="C40" i="4"/>
  <c r="I23" i="2"/>
  <c r="H23" i="2"/>
  <c r="G23" i="2"/>
  <c r="F23" i="2"/>
  <c r="E23" i="2"/>
  <c r="D23" i="2"/>
  <c r="C23" i="2"/>
  <c r="I20" i="2"/>
  <c r="H20" i="2"/>
  <c r="G20" i="2"/>
  <c r="F20" i="2"/>
  <c r="E20" i="2"/>
  <c r="D20" i="2"/>
  <c r="C20" i="2"/>
  <c r="I17" i="2"/>
  <c r="H17" i="2"/>
  <c r="G17" i="2"/>
  <c r="F17" i="2"/>
  <c r="E17" i="2"/>
  <c r="D17" i="2"/>
  <c r="C17" i="2"/>
  <c r="I14" i="2"/>
  <c r="H14" i="2"/>
  <c r="G14" i="2"/>
  <c r="F14" i="2"/>
  <c r="E14" i="2"/>
  <c r="D14" i="2"/>
  <c r="C14" i="2"/>
  <c r="I11" i="2"/>
  <c r="H11" i="2"/>
  <c r="G11" i="2"/>
  <c r="F11" i="2"/>
  <c r="E11" i="2"/>
  <c r="D11" i="2"/>
  <c r="C11" i="2"/>
</calcChain>
</file>

<file path=xl/sharedStrings.xml><?xml version="1.0" encoding="utf-8"?>
<sst xmlns="http://schemas.openxmlformats.org/spreadsheetml/2006/main" count="168" uniqueCount="50">
  <si>
    <t>Hot Rolled Coil</t>
  </si>
  <si>
    <t>Hot Rolled Plate</t>
  </si>
  <si>
    <t>Cold Rolled Coil</t>
  </si>
  <si>
    <t>High</t>
  </si>
  <si>
    <t>Low</t>
  </si>
  <si>
    <t>Hot Dipped Galvanised Coil</t>
  </si>
  <si>
    <t>Electro-Zinc Coated Coil</t>
  </si>
  <si>
    <t>Wire Rod</t>
  </si>
  <si>
    <t>Reinforcing Bar</t>
  </si>
  <si>
    <t>Merchant Bar</t>
  </si>
  <si>
    <t>Germany</t>
  </si>
  <si>
    <t>France</t>
  </si>
  <si>
    <t>Italy</t>
  </si>
  <si>
    <t>UK</t>
  </si>
  <si>
    <t>Belgium</t>
  </si>
  <si>
    <t>Spain</t>
  </si>
  <si>
    <t>HD Galv Coil</t>
  </si>
  <si>
    <t>EZ Coated Coil</t>
  </si>
  <si>
    <t>Medium Sections</t>
  </si>
  <si>
    <t>Rebar</t>
  </si>
  <si>
    <t>Transaction Price Data Sheet</t>
  </si>
  <si>
    <t>Medium Sections (I Beam)</t>
  </si>
  <si>
    <t>Medium Sections (H Beam)</t>
  </si>
  <si>
    <t>Merchant Bar (Round)</t>
  </si>
  <si>
    <t>Merchant Bar (Equal Angle)</t>
  </si>
  <si>
    <t>Flat Rolled Products - Negotiated Domestic Basis Prices</t>
  </si>
  <si>
    <t>Month on Month % Change</t>
  </si>
  <si>
    <t>Long Products - Negotiated Domestic Basis Prices</t>
  </si>
  <si>
    <t>Negotiated Domestic Transaction Prices</t>
  </si>
  <si>
    <t>Flat Products</t>
  </si>
  <si>
    <t>Long Products</t>
  </si>
  <si>
    <t>January 1997 = 100</t>
  </si>
  <si>
    <t>% change</t>
  </si>
  <si>
    <t>Wire Rod (Drawing)</t>
  </si>
  <si>
    <t>Wire Rod (Mesh)</t>
  </si>
  <si>
    <t>Merc Bar (Round)</t>
  </si>
  <si>
    <t>Merc Bar (Eq Angle)</t>
  </si>
  <si>
    <t>Medium Sections and Beams</t>
  </si>
  <si>
    <t>MEPS European Steel Review - Express</t>
  </si>
  <si>
    <t>Europe Av</t>
  </si>
  <si>
    <t>Sections (I Beam)</t>
  </si>
  <si>
    <t>Sections (H Beam)</t>
  </si>
  <si>
    <t>(Drawing Quality)</t>
  </si>
  <si>
    <t>(Mesh Quality)</t>
  </si>
  <si>
    <t>Copyright © MEPS International Ltd. All rights reserved.</t>
  </si>
  <si>
    <t>Unauthorised access or use of MEPS data is strictly prohibited.</t>
  </si>
  <si>
    <t>Wire Rod (Drawing Quality)</t>
  </si>
  <si>
    <t>Transaction Price Index - Europe Average</t>
  </si>
  <si>
    <t>EUR/t</t>
  </si>
  <si>
    <t>GBP/t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</si>
</sst>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m\ yyyy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9"/>
      <color rgb="FF4343BF"/>
      <name val="Arial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6"/>
      <color rgb="FF03045E"/>
      <name val="Arial"/>
      <family val="2"/>
    </font>
    <font>
      <b/>
      <sz val="10"/>
      <color rgb="FF03045E"/>
      <name val="Arial"/>
      <family val="2"/>
    </font>
    <font>
      <sz val="11"/>
      <color theme="1"/>
      <name val="Arial"/>
      <family val="2"/>
    </font>
    <font>
      <b/>
      <sz val="10"/>
      <color rgb="FFC1121F"/>
      <name val="Arial"/>
      <family val="2"/>
    </font>
    <font>
      <sz val="10"/>
      <color rgb="FFC1121F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045E"/>
        <bgColor indexed="64"/>
      </patternFill>
    </fill>
  </fills>
  <borders count="9">
    <border>
      <left/>
      <right/>
      <top/>
      <bottom/>
      <diagonal/>
    </border>
    <border>
      <left style="thin">
        <color rgb="FF03045E"/>
      </left>
      <right/>
      <top style="thin">
        <color rgb="FF03045E"/>
      </top>
      <bottom/>
      <diagonal/>
    </border>
    <border>
      <left/>
      <right/>
      <top style="thin">
        <color rgb="FF03045E"/>
      </top>
      <bottom/>
      <diagonal/>
    </border>
    <border>
      <left/>
      <right style="thin">
        <color rgb="FF03045E"/>
      </right>
      <top style="thin">
        <color rgb="FF03045E"/>
      </top>
      <bottom/>
      <diagonal/>
    </border>
    <border>
      <left style="thin">
        <color rgb="FF03045E"/>
      </left>
      <right/>
      <top/>
      <bottom/>
      <diagonal/>
    </border>
    <border>
      <left/>
      <right style="thin">
        <color rgb="FF03045E"/>
      </right>
      <top/>
      <bottom/>
      <diagonal/>
    </border>
    <border>
      <left style="thin">
        <color rgb="FF03045E"/>
      </left>
      <right/>
      <top/>
      <bottom style="thin">
        <color rgb="FF03045E"/>
      </bottom>
      <diagonal/>
    </border>
    <border>
      <left/>
      <right/>
      <top/>
      <bottom style="thin">
        <color rgb="FF03045E"/>
      </bottom>
      <diagonal/>
    </border>
    <border>
      <left/>
      <right style="thin">
        <color rgb="FF03045E"/>
      </right>
      <top/>
      <bottom style="thin">
        <color rgb="FF03045E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/>
    <xf numFmtId="0" fontId="7" fillId="2" borderId="0" xfId="0" applyFont="1" applyFill="1"/>
    <xf numFmtId="14" fontId="1" fillId="2" borderId="0" xfId="0" applyNumberFormat="1" applyFont="1" applyFill="1"/>
    <xf numFmtId="0" fontId="9" fillId="2" borderId="0" xfId="0" applyFont="1" applyFill="1"/>
    <xf numFmtId="0" fontId="10" fillId="2" borderId="0" xfId="0" applyFont="1" applyFill="1"/>
    <xf numFmtId="0" fontId="1" fillId="2" borderId="0" xfId="0" applyFont="1" applyFill="1" applyAlignment="1">
      <alignment vertical="center"/>
    </xf>
    <xf numFmtId="0" fontId="15" fillId="2" borderId="0" xfId="0" applyFont="1" applyFill="1"/>
    <xf numFmtId="165" fontId="16" fillId="2" borderId="0" xfId="0" applyNumberFormat="1" applyFont="1" applyFill="1" applyAlignment="1">
      <alignment horizontal="left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4" xfId="0" applyFont="1" applyFill="1" applyBorder="1"/>
    <xf numFmtId="0" fontId="2" fillId="2" borderId="0" xfId="0" applyFont="1" applyFill="1" applyAlignment="1">
      <alignment horizontal="right" indent="1"/>
    </xf>
    <xf numFmtId="0" fontId="18" fillId="2" borderId="0" xfId="0" applyFont="1" applyFill="1" applyAlignment="1">
      <alignment horizontal="right" indent="1"/>
    </xf>
    <xf numFmtId="0" fontId="2" fillId="2" borderId="5" xfId="0" applyFont="1" applyFill="1" applyBorder="1" applyAlignment="1">
      <alignment horizontal="right" indent="1"/>
    </xf>
    <xf numFmtId="0" fontId="1" fillId="2" borderId="0" xfId="0" applyFont="1" applyFill="1" applyAlignment="1">
      <alignment horizontal="right" indent="1"/>
    </xf>
    <xf numFmtId="0" fontId="19" fillId="2" borderId="0" xfId="0" applyFont="1" applyFill="1" applyAlignment="1">
      <alignment horizontal="right" indent="1"/>
    </xf>
    <xf numFmtId="0" fontId="1" fillId="2" borderId="5" xfId="0" applyFont="1" applyFill="1" applyBorder="1" applyAlignment="1">
      <alignment horizontal="right" indent="1"/>
    </xf>
    <xf numFmtId="0" fontId="19" fillId="2" borderId="0" xfId="0" applyFont="1" applyFill="1"/>
    <xf numFmtId="0" fontId="2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indent="1"/>
    </xf>
    <xf numFmtId="164" fontId="1" fillId="2" borderId="0" xfId="0" applyNumberFormat="1" applyFont="1" applyFill="1" applyAlignment="1">
      <alignment horizontal="right" indent="1"/>
    </xf>
    <xf numFmtId="164" fontId="19" fillId="2" borderId="0" xfId="0" applyNumberFormat="1" applyFont="1" applyFill="1" applyAlignment="1">
      <alignment horizontal="right" indent="1"/>
    </xf>
    <xf numFmtId="164" fontId="1" fillId="2" borderId="5" xfId="0" applyNumberFormat="1" applyFont="1" applyFill="1" applyBorder="1" applyAlignment="1">
      <alignment horizontal="right" indent="1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17" fontId="4" fillId="2" borderId="0" xfId="0" applyNumberFormat="1" applyFont="1" applyFill="1" applyAlignment="1">
      <alignment horizontal="right" indent="1"/>
    </xf>
    <xf numFmtId="17" fontId="4" fillId="2" borderId="5" xfId="0" applyNumberFormat="1" applyFont="1" applyFill="1" applyBorder="1" applyAlignment="1">
      <alignment horizontal="right" inden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1" fillId="2" borderId="0" xfId="0" applyNumberFormat="1" applyFont="1" applyFill="1" applyAlignment="1">
      <alignment horizontal="right" indent="1"/>
    </xf>
    <xf numFmtId="1" fontId="1" fillId="2" borderId="5" xfId="0" applyNumberFormat="1" applyFont="1" applyFill="1" applyBorder="1" applyAlignment="1">
      <alignment horizontal="right" indent="1"/>
    </xf>
    <xf numFmtId="0" fontId="16" fillId="2" borderId="4" xfId="0" applyFont="1" applyFill="1" applyBorder="1" applyAlignment="1">
      <alignment horizontal="left" indent="1"/>
    </xf>
    <xf numFmtId="0" fontId="6" fillId="2" borderId="4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 vertical="center" wrapText="1" indent="1"/>
    </xf>
    <xf numFmtId="1" fontId="19" fillId="2" borderId="0" xfId="0" applyNumberFormat="1" applyFont="1" applyFill="1" applyAlignment="1">
      <alignment horizontal="right" indent="1"/>
    </xf>
    <xf numFmtId="0" fontId="4" fillId="2" borderId="4" xfId="0" applyFont="1" applyFill="1" applyBorder="1" applyAlignment="1">
      <alignment horizontal="left" indent="1"/>
    </xf>
    <xf numFmtId="0" fontId="4" fillId="2" borderId="4" xfId="0" quotePrefix="1" applyFont="1" applyFill="1" applyBorder="1" applyAlignment="1">
      <alignment horizontal="left" indent="1"/>
    </xf>
    <xf numFmtId="0" fontId="15" fillId="2" borderId="0" xfId="0" applyFont="1" applyFill="1" applyAlignment="1">
      <alignment horizontal="left"/>
    </xf>
    <xf numFmtId="0" fontId="11" fillId="3" borderId="4" xfId="0" applyFont="1" applyFill="1" applyBorder="1" applyAlignment="1">
      <alignment horizontal="left" indent="1"/>
    </xf>
    <xf numFmtId="0" fontId="17" fillId="3" borderId="0" xfId="0" applyFont="1" applyFill="1" applyAlignment="1">
      <alignment horizontal="left" indent="1"/>
    </xf>
    <xf numFmtId="0" fontId="17" fillId="3" borderId="5" xfId="0" applyFont="1" applyFill="1" applyBorder="1" applyAlignment="1">
      <alignment horizontal="left" indent="1"/>
    </xf>
    <xf numFmtId="0" fontId="12" fillId="3" borderId="1" xfId="0" applyFont="1" applyFill="1" applyBorder="1" applyAlignment="1">
      <alignment horizontal="left" vertical="center" indent="1"/>
    </xf>
    <xf numFmtId="0" fontId="14" fillId="3" borderId="2" xfId="0" applyFont="1" applyFill="1" applyBorder="1" applyAlignment="1">
      <alignment horizontal="left" vertical="center" indent="1"/>
    </xf>
    <xf numFmtId="0" fontId="14" fillId="3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wrapText="1" indent="1"/>
    </xf>
    <xf numFmtId="0" fontId="13" fillId="3" borderId="2" xfId="0" applyFont="1" applyFill="1" applyBorder="1" applyAlignment="1">
      <alignment horizontal="left" vertical="center" indent="1"/>
    </xf>
    <xf numFmtId="0" fontId="13" fillId="3" borderId="3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11" fillId="3" borderId="1" xfId="0" applyFont="1" applyFill="1" applyBorder="1" applyAlignment="1">
      <alignment horizontal="left" indent="1"/>
    </xf>
    <xf numFmtId="0" fontId="8" fillId="3" borderId="2" xfId="0" applyFont="1" applyFill="1" applyBorder="1" applyAlignment="1">
      <alignment horizontal="left" indent="1"/>
    </xf>
    <xf numFmtId="0" fontId="8" fillId="3" borderId="3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vertical="top" indent="1"/>
    </xf>
    <xf numFmtId="0" fontId="8" fillId="3" borderId="0" xfId="0" applyFont="1" applyFill="1" applyAlignment="1">
      <alignment horizontal="left" vertical="top" indent="1"/>
    </xf>
    <xf numFmtId="0" fontId="8" fillId="3" borderId="5" xfId="0" applyFont="1" applyFill="1" applyBorder="1" applyAlignment="1">
      <alignment horizontal="left" vertical="top" indent="1"/>
    </xf>
    <xf numFmtId="0" fontId="4" fillId="2" borderId="4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4" fillId="2" borderId="4" xfId="0" quotePrefix="1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indent="1"/>
    </xf>
    <xf numFmtId="0" fontId="20" fillId="3" borderId="2" xfId="0" applyFont="1" applyFill="1" applyBorder="1" applyAlignment="1">
      <alignment horizontal="left" indent="1"/>
    </xf>
    <xf numFmtId="0" fontId="20" fillId="3" borderId="3" xfId="0" applyFont="1" applyFill="1" applyBorder="1" applyAlignment="1">
      <alignment horizontal="left" indent="1"/>
    </xf>
    <xf numFmtId="0" fontId="12" fillId="3" borderId="4" xfId="0" applyFont="1" applyFill="1" applyBorder="1" applyAlignment="1">
      <alignment horizontal="left" vertical="top" indent="1"/>
    </xf>
    <xf numFmtId="0" fontId="20" fillId="3" borderId="0" xfId="0" applyFont="1" applyFill="1" applyAlignment="1">
      <alignment horizontal="left" vertical="top" indent="1"/>
    </xf>
    <xf numFmtId="0" fontId="20" fillId="3" borderId="5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1121F"/>
      <color rgb="FF03045E"/>
      <color rgb="FF4343BF"/>
      <color rgb="FFE3E3F2"/>
      <color rgb="FF4B50A2"/>
      <color rgb="FF7271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-my.sharepoint.com/personal/frpuaud_reims-distrib_arcelormittal_com/Documents/Documents/STEEL%20MARKETS/MEPS/2025/EXPRESS%20MEPS%20+%20Supplt/MEPSEuropeanSteelReviewExpress-Jul2025.xlsx" TargetMode="External"/><Relationship Id="rId1" Type="http://schemas.openxmlformats.org/officeDocument/2006/relationships/externalLinkPath" Target="MEPSEuropeanSteelReviewExpress-Jul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s"/>
      <sheetName val="Transaction"/>
    </sheetNames>
    <sheetDataSet>
      <sheetData sheetId="0">
        <row r="10">
          <cell r="C10">
            <v>550</v>
          </cell>
          <cell r="D10">
            <v>550</v>
          </cell>
          <cell r="E10">
            <v>525</v>
          </cell>
          <cell r="F10">
            <v>480</v>
          </cell>
          <cell r="G10">
            <v>559</v>
          </cell>
          <cell r="H10">
            <v>550</v>
          </cell>
          <cell r="I10">
            <v>530</v>
          </cell>
        </row>
        <row r="13">
          <cell r="C13">
            <v>630</v>
          </cell>
          <cell r="D13">
            <v>620</v>
          </cell>
          <cell r="E13">
            <v>590</v>
          </cell>
          <cell r="F13">
            <v>570</v>
          </cell>
          <cell r="G13">
            <v>664</v>
          </cell>
          <cell r="H13">
            <v>620</v>
          </cell>
          <cell r="I13">
            <v>610</v>
          </cell>
          <cell r="R13">
            <v>750</v>
          </cell>
        </row>
        <row r="16">
          <cell r="C16">
            <v>650</v>
          </cell>
          <cell r="D16">
            <v>650</v>
          </cell>
          <cell r="E16">
            <v>625</v>
          </cell>
          <cell r="F16">
            <v>555</v>
          </cell>
          <cell r="G16">
            <v>647</v>
          </cell>
          <cell r="H16">
            <v>650</v>
          </cell>
          <cell r="I16">
            <v>620</v>
          </cell>
          <cell r="R16">
            <v>365</v>
          </cell>
        </row>
        <row r="19">
          <cell r="C19">
            <v>670</v>
          </cell>
          <cell r="D19">
            <v>660</v>
          </cell>
          <cell r="E19">
            <v>635</v>
          </cell>
          <cell r="F19">
            <v>575</v>
          </cell>
          <cell r="G19">
            <v>670</v>
          </cell>
          <cell r="H19">
            <v>670</v>
          </cell>
          <cell r="I19">
            <v>640</v>
          </cell>
          <cell r="R19">
            <v>230</v>
          </cell>
        </row>
        <row r="22">
          <cell r="C22">
            <v>700</v>
          </cell>
          <cell r="D22">
            <v>700</v>
          </cell>
          <cell r="E22">
            <v>680</v>
          </cell>
          <cell r="F22">
            <v>620</v>
          </cell>
          <cell r="G22">
            <v>723</v>
          </cell>
          <cell r="H22">
            <v>700</v>
          </cell>
          <cell r="I22">
            <v>680</v>
          </cell>
        </row>
      </sheetData>
      <sheetData sheetId="1">
        <row r="39">
          <cell r="C39">
            <v>771</v>
          </cell>
          <cell r="D39">
            <v>770</v>
          </cell>
          <cell r="E39">
            <v>780</v>
          </cell>
          <cell r="F39">
            <v>780</v>
          </cell>
          <cell r="G39">
            <v>655</v>
          </cell>
          <cell r="H39">
            <v>763</v>
          </cell>
          <cell r="I39">
            <v>760</v>
          </cell>
        </row>
        <row r="42">
          <cell r="C42">
            <v>571</v>
          </cell>
          <cell r="D42">
            <v>630</v>
          </cell>
          <cell r="E42">
            <v>620</v>
          </cell>
          <cell r="F42">
            <v>510</v>
          </cell>
          <cell r="G42">
            <v>510</v>
          </cell>
          <cell r="H42">
            <v>594</v>
          </cell>
          <cell r="I42">
            <v>620</v>
          </cell>
        </row>
        <row r="48">
          <cell r="C48">
            <v>673</v>
          </cell>
          <cell r="D48">
            <v>680</v>
          </cell>
          <cell r="E48">
            <v>650</v>
          </cell>
          <cell r="F48">
            <v>680</v>
          </cell>
          <cell r="G48">
            <v>585</v>
          </cell>
          <cell r="H48">
            <v>682</v>
          </cell>
          <cell r="I48">
            <v>660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K1" zoomScale="90" zoomScaleNormal="90" workbookViewId="0">
      <selection activeCell="P10" sqref="P10"/>
    </sheetView>
  </sheetViews>
  <sheetFormatPr baseColWidth="10" defaultColWidth="8.90625" defaultRowHeight="12.5" x14ac:dyDescent="0.25"/>
  <cols>
    <col min="1" max="1" width="19.08984375" style="1" customWidth="1"/>
    <col min="2" max="2" width="6.54296875" style="1" customWidth="1"/>
    <col min="3" max="9" width="9.453125" style="1" customWidth="1"/>
    <col min="10" max="10" width="6.6328125" style="1" customWidth="1"/>
    <col min="11" max="11" width="17.54296875" style="1" customWidth="1"/>
    <col min="12" max="12" width="6.54296875" style="1" customWidth="1"/>
    <col min="13" max="19" width="9.36328125" style="1" customWidth="1"/>
    <col min="20" max="16384" width="8.90625" style="1"/>
  </cols>
  <sheetData>
    <row r="1" spans="1:19" ht="20" x14ac:dyDescent="0.4">
      <c r="A1" s="44" t="s">
        <v>38</v>
      </c>
    </row>
    <row r="2" spans="1:19" s="2" customFormat="1" ht="15.5" x14ac:dyDescent="0.35">
      <c r="A2" s="8">
        <v>45881</v>
      </c>
    </row>
    <row r="4" spans="1:19" s="6" customFormat="1" ht="21.75" customHeight="1" x14ac:dyDescent="0.35">
      <c r="A4" s="48" t="s">
        <v>25</v>
      </c>
      <c r="B4" s="52"/>
      <c r="C4" s="52"/>
      <c r="D4" s="52"/>
      <c r="E4" s="52"/>
      <c r="F4" s="52"/>
      <c r="G4" s="52"/>
      <c r="H4" s="52"/>
      <c r="I4" s="53"/>
      <c r="K4" s="48" t="s">
        <v>27</v>
      </c>
      <c r="L4" s="49"/>
      <c r="M4" s="49"/>
      <c r="N4" s="49"/>
      <c r="O4" s="49"/>
      <c r="P4" s="49"/>
      <c r="Q4" s="49"/>
      <c r="R4" s="49"/>
      <c r="S4" s="50"/>
    </row>
    <row r="5" spans="1:19" x14ac:dyDescent="0.25">
      <c r="A5" s="9"/>
      <c r="I5" s="10"/>
      <c r="K5" s="9"/>
      <c r="S5" s="10"/>
    </row>
    <row r="6" spans="1:19" ht="13" x14ac:dyDescent="0.3">
      <c r="A6" s="11"/>
      <c r="C6" s="12" t="s">
        <v>10</v>
      </c>
      <c r="D6" s="12" t="s">
        <v>11</v>
      </c>
      <c r="E6" s="12" t="s">
        <v>12</v>
      </c>
      <c r="F6" s="13" t="s">
        <v>13</v>
      </c>
      <c r="G6" s="12" t="s">
        <v>13</v>
      </c>
      <c r="H6" s="12" t="s">
        <v>14</v>
      </c>
      <c r="I6" s="14" t="s">
        <v>15</v>
      </c>
      <c r="K6" s="11"/>
      <c r="M6" s="12" t="s">
        <v>10</v>
      </c>
      <c r="N6" s="12" t="s">
        <v>11</v>
      </c>
      <c r="O6" s="12" t="s">
        <v>12</v>
      </c>
      <c r="P6" s="13" t="s">
        <v>13</v>
      </c>
      <c r="Q6" s="12" t="s">
        <v>13</v>
      </c>
      <c r="R6" s="12" t="s">
        <v>14</v>
      </c>
      <c r="S6" s="14" t="s">
        <v>15</v>
      </c>
    </row>
    <row r="7" spans="1:19" x14ac:dyDescent="0.25">
      <c r="A7" s="9"/>
      <c r="C7" s="15" t="s">
        <v>48</v>
      </c>
      <c r="D7" s="15" t="s">
        <v>48</v>
      </c>
      <c r="E7" s="15" t="s">
        <v>48</v>
      </c>
      <c r="F7" s="16" t="s">
        <v>49</v>
      </c>
      <c r="G7" s="15" t="s">
        <v>48</v>
      </c>
      <c r="H7" s="15" t="s">
        <v>48</v>
      </c>
      <c r="I7" s="17" t="s">
        <v>48</v>
      </c>
      <c r="K7" s="9"/>
      <c r="M7" s="15" t="s">
        <v>48</v>
      </c>
      <c r="N7" s="15" t="s">
        <v>48</v>
      </c>
      <c r="O7" s="15" t="s">
        <v>48</v>
      </c>
      <c r="P7" s="16" t="s">
        <v>49</v>
      </c>
      <c r="Q7" s="15" t="s">
        <v>48</v>
      </c>
      <c r="R7" s="15" t="s">
        <v>48</v>
      </c>
      <c r="S7" s="17" t="s">
        <v>48</v>
      </c>
    </row>
    <row r="8" spans="1:19" x14ac:dyDescent="0.25">
      <c r="A8" s="9"/>
      <c r="C8" s="27"/>
      <c r="D8" s="27"/>
      <c r="E8" s="27"/>
      <c r="F8" s="28"/>
      <c r="G8" s="27"/>
      <c r="H8" s="27"/>
      <c r="I8" s="29"/>
      <c r="K8" s="9"/>
      <c r="P8" s="18"/>
      <c r="S8" s="10"/>
    </row>
    <row r="9" spans="1:19" x14ac:dyDescent="0.25">
      <c r="A9" s="51" t="s">
        <v>0</v>
      </c>
      <c r="B9" s="1" t="s">
        <v>3</v>
      </c>
      <c r="C9" s="15">
        <v>570</v>
      </c>
      <c r="D9" s="15">
        <v>570</v>
      </c>
      <c r="E9" s="15">
        <v>550</v>
      </c>
      <c r="F9" s="16">
        <v>500</v>
      </c>
      <c r="G9" s="15">
        <v>574</v>
      </c>
      <c r="H9" s="15">
        <v>570</v>
      </c>
      <c r="I9" s="17">
        <v>565</v>
      </c>
      <c r="K9" s="51" t="s">
        <v>46</v>
      </c>
      <c r="L9" s="1" t="s">
        <v>3</v>
      </c>
      <c r="M9" s="15">
        <v>640</v>
      </c>
      <c r="N9" s="15">
        <v>640</v>
      </c>
      <c r="O9" s="15">
        <v>610</v>
      </c>
      <c r="P9" s="16">
        <v>540</v>
      </c>
      <c r="Q9" s="15">
        <v>620</v>
      </c>
      <c r="R9" s="15">
        <v>640</v>
      </c>
      <c r="S9" s="17">
        <v>615</v>
      </c>
    </row>
    <row r="10" spans="1:19" x14ac:dyDescent="0.25">
      <c r="A10" s="51"/>
      <c r="B10" s="1" t="s">
        <v>4</v>
      </c>
      <c r="C10" s="15">
        <v>550</v>
      </c>
      <c r="D10" s="15">
        <v>550</v>
      </c>
      <c r="E10" s="15">
        <v>535</v>
      </c>
      <c r="F10" s="16">
        <v>480</v>
      </c>
      <c r="G10" s="15">
        <v>551</v>
      </c>
      <c r="H10" s="15">
        <v>550</v>
      </c>
      <c r="I10" s="17">
        <v>540</v>
      </c>
      <c r="K10" s="51"/>
      <c r="L10" s="1" t="s">
        <v>4</v>
      </c>
      <c r="M10" s="15">
        <v>610</v>
      </c>
      <c r="N10" s="15">
        <v>610</v>
      </c>
      <c r="O10" s="15">
        <v>580</v>
      </c>
      <c r="P10" s="16">
        <v>510</v>
      </c>
      <c r="Q10" s="15">
        <v>586</v>
      </c>
      <c r="R10" s="15">
        <v>610</v>
      </c>
      <c r="S10" s="17">
        <v>605</v>
      </c>
    </row>
    <row r="11" spans="1:19" ht="13" x14ac:dyDescent="0.25">
      <c r="A11" s="19"/>
      <c r="C11" s="15">
        <f>C10-[1]Basis!C10</f>
        <v>0</v>
      </c>
      <c r="D11" s="15">
        <f>D10-[1]Basis!D10</f>
        <v>0</v>
      </c>
      <c r="E11" s="15">
        <f>E10-[1]Basis!E10</f>
        <v>10</v>
      </c>
      <c r="F11" s="15">
        <f>F10-[1]Basis!F10</f>
        <v>0</v>
      </c>
      <c r="G11" s="15">
        <f>G10-[1]Basis!G10</f>
        <v>-8</v>
      </c>
      <c r="H11" s="15">
        <f>H10-[1]Basis!H10</f>
        <v>0</v>
      </c>
      <c r="I11" s="15">
        <f>I10-[1]Basis!I10</f>
        <v>10</v>
      </c>
      <c r="K11" s="19"/>
      <c r="M11" s="15"/>
      <c r="N11" s="15"/>
      <c r="O11" s="15"/>
      <c r="P11" s="16"/>
      <c r="Q11" s="15"/>
      <c r="R11" s="15"/>
      <c r="S11" s="17"/>
    </row>
    <row r="12" spans="1:19" x14ac:dyDescent="0.25">
      <c r="A12" s="51" t="s">
        <v>1</v>
      </c>
      <c r="B12" s="1" t="s">
        <v>3</v>
      </c>
      <c r="C12" s="15">
        <v>650</v>
      </c>
      <c r="D12" s="15">
        <v>650</v>
      </c>
      <c r="E12" s="15">
        <v>620</v>
      </c>
      <c r="F12" s="16">
        <v>600</v>
      </c>
      <c r="G12" s="15">
        <v>689</v>
      </c>
      <c r="H12" s="15">
        <v>650</v>
      </c>
      <c r="I12" s="17">
        <v>640</v>
      </c>
      <c r="K12" s="51" t="s">
        <v>37</v>
      </c>
      <c r="L12" s="1" t="s">
        <v>3</v>
      </c>
      <c r="M12" s="15">
        <v>755</v>
      </c>
      <c r="N12" s="15">
        <v>770</v>
      </c>
      <c r="O12" s="15">
        <v>780</v>
      </c>
      <c r="P12" s="16">
        <v>660</v>
      </c>
      <c r="Q12" s="15">
        <v>758</v>
      </c>
      <c r="R12" s="15">
        <v>755</v>
      </c>
      <c r="S12" s="17">
        <v>750</v>
      </c>
    </row>
    <row r="13" spans="1:19" x14ac:dyDescent="0.25">
      <c r="A13" s="51"/>
      <c r="B13" s="1" t="s">
        <v>4</v>
      </c>
      <c r="C13" s="15">
        <v>620</v>
      </c>
      <c r="D13" s="15">
        <v>620</v>
      </c>
      <c r="E13" s="15">
        <v>590</v>
      </c>
      <c r="F13" s="16">
        <v>575</v>
      </c>
      <c r="G13" s="15">
        <v>660</v>
      </c>
      <c r="H13" s="15">
        <v>620</v>
      </c>
      <c r="I13" s="17">
        <v>610</v>
      </c>
      <c r="K13" s="51"/>
      <c r="L13" s="1" t="s">
        <v>4</v>
      </c>
      <c r="M13" s="15">
        <v>745</v>
      </c>
      <c r="N13" s="15">
        <v>760</v>
      </c>
      <c r="O13" s="15">
        <v>760</v>
      </c>
      <c r="P13" s="16">
        <v>640</v>
      </c>
      <c r="Q13" s="15">
        <v>735</v>
      </c>
      <c r="R13" s="15">
        <v>745</v>
      </c>
      <c r="S13" s="17">
        <v>740</v>
      </c>
    </row>
    <row r="14" spans="1:19" ht="13" x14ac:dyDescent="0.25">
      <c r="A14" s="19"/>
      <c r="C14" s="15">
        <f>C13-[1]Basis!C13</f>
        <v>-10</v>
      </c>
      <c r="D14" s="15">
        <f>D13-[1]Basis!D13</f>
        <v>0</v>
      </c>
      <c r="E14" s="15">
        <f>E13-[1]Basis!E13</f>
        <v>0</v>
      </c>
      <c r="F14" s="15">
        <f>F13-[1]Basis!F13</f>
        <v>5</v>
      </c>
      <c r="G14" s="15">
        <f>G13-[1]Basis!G13</f>
        <v>-4</v>
      </c>
      <c r="H14" s="15">
        <f>H13-[1]Basis!H13</f>
        <v>0</v>
      </c>
      <c r="I14" s="15">
        <f>I13-[1]Basis!I13</f>
        <v>0</v>
      </c>
      <c r="K14" s="19"/>
      <c r="M14" s="15"/>
      <c r="N14" s="15"/>
      <c r="O14" s="15"/>
      <c r="P14" s="16"/>
      <c r="Q14" s="15"/>
      <c r="R14" s="15">
        <f>R13-[1]Basis!R13</f>
        <v>-5</v>
      </c>
      <c r="S14" s="17"/>
    </row>
    <row r="15" spans="1:19" x14ac:dyDescent="0.25">
      <c r="A15" s="51" t="s">
        <v>2</v>
      </c>
      <c r="B15" s="1" t="s">
        <v>3</v>
      </c>
      <c r="C15" s="15">
        <v>670</v>
      </c>
      <c r="D15" s="15">
        <v>670</v>
      </c>
      <c r="E15" s="15">
        <v>650</v>
      </c>
      <c r="F15" s="16">
        <v>585</v>
      </c>
      <c r="G15" s="15">
        <v>672</v>
      </c>
      <c r="H15" s="15">
        <v>670</v>
      </c>
      <c r="I15" s="17">
        <v>660</v>
      </c>
      <c r="K15" s="51" t="s">
        <v>19</v>
      </c>
      <c r="L15" s="1" t="s">
        <v>3</v>
      </c>
      <c r="M15" s="15">
        <v>370</v>
      </c>
      <c r="N15" s="15">
        <v>365</v>
      </c>
      <c r="O15" s="15">
        <v>310</v>
      </c>
      <c r="P15" s="16">
        <v>530</v>
      </c>
      <c r="Q15" s="15">
        <v>608</v>
      </c>
      <c r="R15" s="15">
        <v>370</v>
      </c>
      <c r="S15" s="17">
        <v>370</v>
      </c>
    </row>
    <row r="16" spans="1:19" x14ac:dyDescent="0.25">
      <c r="A16" s="51"/>
      <c r="B16" s="1" t="s">
        <v>4</v>
      </c>
      <c r="C16" s="15">
        <v>650</v>
      </c>
      <c r="D16" s="15">
        <v>650</v>
      </c>
      <c r="E16" s="15">
        <v>635</v>
      </c>
      <c r="F16" s="16">
        <v>555</v>
      </c>
      <c r="G16" s="15">
        <v>637</v>
      </c>
      <c r="H16" s="15">
        <v>650</v>
      </c>
      <c r="I16" s="17">
        <v>640</v>
      </c>
      <c r="K16" s="51"/>
      <c r="L16" s="1" t="s">
        <v>4</v>
      </c>
      <c r="M16" s="15">
        <v>360</v>
      </c>
      <c r="N16" s="15">
        <v>350</v>
      </c>
      <c r="O16" s="15">
        <v>280</v>
      </c>
      <c r="P16" s="16">
        <v>510</v>
      </c>
      <c r="Q16" s="15">
        <v>586</v>
      </c>
      <c r="R16" s="15">
        <v>360</v>
      </c>
      <c r="S16" s="17">
        <v>360</v>
      </c>
    </row>
    <row r="17" spans="1:19" ht="13" x14ac:dyDescent="0.25">
      <c r="A17" s="19"/>
      <c r="C17" s="15">
        <f>C16-[1]Basis!C16</f>
        <v>0</v>
      </c>
      <c r="D17" s="15">
        <f>D16-[1]Basis!D16</f>
        <v>0</v>
      </c>
      <c r="E17" s="15">
        <f>E16-[1]Basis!E16</f>
        <v>10</v>
      </c>
      <c r="F17" s="15">
        <f>F16-[1]Basis!F16</f>
        <v>0</v>
      </c>
      <c r="G17" s="15">
        <f>G16-[1]Basis!G16</f>
        <v>-10</v>
      </c>
      <c r="H17" s="15">
        <f>H16-[1]Basis!H16</f>
        <v>0</v>
      </c>
      <c r="I17" s="15">
        <f>I16-[1]Basis!I16</f>
        <v>20</v>
      </c>
      <c r="K17" s="19"/>
      <c r="M17" s="15"/>
      <c r="N17" s="15"/>
      <c r="O17" s="15"/>
      <c r="P17" s="16"/>
      <c r="Q17" s="15"/>
      <c r="R17" s="15">
        <f>R16-[1]Basis!R16</f>
        <v>-5</v>
      </c>
      <c r="S17" s="17"/>
    </row>
    <row r="18" spans="1:19" x14ac:dyDescent="0.25">
      <c r="A18" s="51" t="s">
        <v>5</v>
      </c>
      <c r="B18" s="1" t="s">
        <v>3</v>
      </c>
      <c r="C18" s="15">
        <v>690</v>
      </c>
      <c r="D18" s="15">
        <v>680</v>
      </c>
      <c r="E18" s="15">
        <v>660</v>
      </c>
      <c r="F18" s="16">
        <v>605</v>
      </c>
      <c r="G18" s="15">
        <v>695</v>
      </c>
      <c r="H18" s="15">
        <v>690</v>
      </c>
      <c r="I18" s="17">
        <v>670</v>
      </c>
      <c r="K18" s="51" t="s">
        <v>9</v>
      </c>
      <c r="L18" s="1" t="s">
        <v>3</v>
      </c>
      <c r="M18" s="15">
        <v>265</v>
      </c>
      <c r="N18" s="15">
        <v>235</v>
      </c>
      <c r="O18" s="15">
        <v>280</v>
      </c>
      <c r="P18" s="16">
        <v>615</v>
      </c>
      <c r="Q18" s="15">
        <v>706</v>
      </c>
      <c r="R18" s="15">
        <v>240</v>
      </c>
      <c r="S18" s="17">
        <v>260</v>
      </c>
    </row>
    <row r="19" spans="1:19" x14ac:dyDescent="0.25">
      <c r="A19" s="51"/>
      <c r="B19" s="1" t="s">
        <v>4</v>
      </c>
      <c r="C19" s="15">
        <v>670</v>
      </c>
      <c r="D19" s="15">
        <v>660</v>
      </c>
      <c r="E19" s="15">
        <v>645</v>
      </c>
      <c r="F19" s="16">
        <v>575</v>
      </c>
      <c r="G19" s="15">
        <v>660</v>
      </c>
      <c r="H19" s="15">
        <v>670</v>
      </c>
      <c r="I19" s="17">
        <v>650</v>
      </c>
      <c r="K19" s="51"/>
      <c r="L19" s="1" t="s">
        <v>4</v>
      </c>
      <c r="M19" s="15">
        <v>255</v>
      </c>
      <c r="N19" s="15">
        <v>225</v>
      </c>
      <c r="O19" s="15">
        <v>260</v>
      </c>
      <c r="P19" s="16">
        <v>585</v>
      </c>
      <c r="Q19" s="15">
        <v>672</v>
      </c>
      <c r="R19" s="15">
        <v>220</v>
      </c>
      <c r="S19" s="17">
        <v>240</v>
      </c>
    </row>
    <row r="20" spans="1:19" ht="13" x14ac:dyDescent="0.25">
      <c r="A20" s="19"/>
      <c r="C20" s="15">
        <f>C19-[1]Basis!C19</f>
        <v>0</v>
      </c>
      <c r="D20" s="15">
        <f>D19-[1]Basis!D19</f>
        <v>0</v>
      </c>
      <c r="E20" s="15">
        <f>E19-[1]Basis!E19</f>
        <v>10</v>
      </c>
      <c r="F20" s="15">
        <f>F19-[1]Basis!F19</f>
        <v>0</v>
      </c>
      <c r="G20" s="15">
        <f>G19-[1]Basis!G19</f>
        <v>-10</v>
      </c>
      <c r="H20" s="15">
        <f>H19-[1]Basis!H19</f>
        <v>0</v>
      </c>
      <c r="I20" s="15">
        <f>I19-[1]Basis!I19</f>
        <v>10</v>
      </c>
      <c r="K20" s="9"/>
      <c r="R20" s="15">
        <f>R19-[1]Basis!R19</f>
        <v>-10</v>
      </c>
      <c r="S20" s="10"/>
    </row>
    <row r="21" spans="1:19" ht="14" x14ac:dyDescent="0.3">
      <c r="A21" s="51" t="s">
        <v>6</v>
      </c>
      <c r="B21" s="1" t="s">
        <v>3</v>
      </c>
      <c r="C21" s="15">
        <v>730</v>
      </c>
      <c r="D21" s="15">
        <v>730</v>
      </c>
      <c r="E21" s="15">
        <v>700</v>
      </c>
      <c r="F21" s="16">
        <v>650</v>
      </c>
      <c r="G21" s="15">
        <v>746</v>
      </c>
      <c r="H21" s="15">
        <v>730</v>
      </c>
      <c r="I21" s="17">
        <v>705</v>
      </c>
      <c r="K21" s="45" t="s">
        <v>26</v>
      </c>
      <c r="L21" s="46"/>
      <c r="M21" s="46"/>
      <c r="N21" s="46"/>
      <c r="O21" s="46"/>
      <c r="P21" s="46"/>
      <c r="Q21" s="46"/>
      <c r="R21" s="46"/>
      <c r="S21" s="47"/>
    </row>
    <row r="22" spans="1:19" x14ac:dyDescent="0.25">
      <c r="A22" s="51"/>
      <c r="B22" s="1" t="s">
        <v>4</v>
      </c>
      <c r="C22" s="15">
        <v>700</v>
      </c>
      <c r="D22" s="15">
        <v>700</v>
      </c>
      <c r="E22" s="15">
        <v>685</v>
      </c>
      <c r="F22" s="16">
        <v>620</v>
      </c>
      <c r="G22" s="15">
        <v>712</v>
      </c>
      <c r="H22" s="15">
        <v>700</v>
      </c>
      <c r="I22" s="17">
        <v>685</v>
      </c>
      <c r="K22" s="9"/>
      <c r="S22" s="10"/>
    </row>
    <row r="23" spans="1:19" ht="13" x14ac:dyDescent="0.3">
      <c r="A23" s="9"/>
      <c r="C23" s="15">
        <f>C22-[1]Basis!C22</f>
        <v>0</v>
      </c>
      <c r="D23" s="15">
        <f>D22-[1]Basis!D22</f>
        <v>0</v>
      </c>
      <c r="E23" s="15">
        <f>E22-[1]Basis!E22</f>
        <v>5</v>
      </c>
      <c r="F23" s="15">
        <f>F22-[1]Basis!F22</f>
        <v>0</v>
      </c>
      <c r="G23" s="15">
        <f>G22-[1]Basis!G22</f>
        <v>-11</v>
      </c>
      <c r="H23" s="15">
        <f>H22-[1]Basis!H22</f>
        <v>0</v>
      </c>
      <c r="I23" s="15">
        <f>I22-[1]Basis!I22</f>
        <v>5</v>
      </c>
      <c r="K23" s="20" t="s">
        <v>7</v>
      </c>
      <c r="L23" s="1" t="s">
        <v>4</v>
      </c>
      <c r="M23" s="21">
        <v>-1.6</v>
      </c>
      <c r="N23" s="21">
        <v>-1.6</v>
      </c>
      <c r="O23" s="21">
        <v>0</v>
      </c>
      <c r="P23" s="22">
        <v>0</v>
      </c>
      <c r="Q23" s="21">
        <v>-1.3</v>
      </c>
      <c r="R23" s="21">
        <v>-1.6</v>
      </c>
      <c r="S23" s="23">
        <v>-0.8</v>
      </c>
    </row>
    <row r="24" spans="1:19" ht="14.5" x14ac:dyDescent="0.35">
      <c r="A24" s="45" t="s">
        <v>26</v>
      </c>
      <c r="B24" s="54"/>
      <c r="C24" s="54"/>
      <c r="D24" s="54"/>
      <c r="E24" s="54"/>
      <c r="F24" s="54"/>
      <c r="G24" s="54"/>
      <c r="H24" s="54"/>
      <c r="I24" s="55"/>
      <c r="K24" s="20"/>
      <c r="M24" s="15"/>
      <c r="N24" s="15"/>
      <c r="O24" s="15"/>
      <c r="P24" s="16"/>
      <c r="Q24" s="15"/>
      <c r="R24" s="15"/>
      <c r="S24" s="17"/>
    </row>
    <row r="25" spans="1:19" ht="13" x14ac:dyDescent="0.3">
      <c r="A25" s="9"/>
      <c r="C25" s="27"/>
      <c r="D25" s="27"/>
      <c r="E25" s="27"/>
      <c r="F25" s="27"/>
      <c r="G25" s="27"/>
      <c r="H25" s="27"/>
      <c r="I25" s="29"/>
      <c r="K25" s="20" t="s">
        <v>18</v>
      </c>
      <c r="L25" s="1" t="s">
        <v>4</v>
      </c>
      <c r="M25" s="21">
        <v>-0.7</v>
      </c>
      <c r="N25" s="21">
        <v>0</v>
      </c>
      <c r="O25" s="21">
        <v>0</v>
      </c>
      <c r="P25" s="22">
        <v>0</v>
      </c>
      <c r="Q25" s="21">
        <v>-1.5</v>
      </c>
      <c r="R25" s="21">
        <v>-0.7</v>
      </c>
      <c r="S25" s="23">
        <v>0</v>
      </c>
    </row>
    <row r="26" spans="1:19" ht="13" x14ac:dyDescent="0.3">
      <c r="A26" s="20" t="s">
        <v>0</v>
      </c>
      <c r="B26" s="1" t="s">
        <v>4</v>
      </c>
      <c r="C26" s="21">
        <v>0</v>
      </c>
      <c r="D26" s="21">
        <v>0</v>
      </c>
      <c r="E26" s="21">
        <v>1.9</v>
      </c>
      <c r="F26" s="22">
        <v>0</v>
      </c>
      <c r="G26" s="21">
        <v>-1.4</v>
      </c>
      <c r="H26" s="21">
        <v>0</v>
      </c>
      <c r="I26" s="23">
        <v>1.9</v>
      </c>
      <c r="K26" s="20"/>
      <c r="M26" s="15"/>
      <c r="N26" s="15"/>
      <c r="O26" s="15"/>
      <c r="P26" s="16"/>
      <c r="Q26" s="15"/>
      <c r="R26" s="15"/>
      <c r="S26" s="17"/>
    </row>
    <row r="27" spans="1:19" ht="13" x14ac:dyDescent="0.3">
      <c r="A27" s="20"/>
      <c r="C27" s="15"/>
      <c r="D27" s="15"/>
      <c r="E27" s="15"/>
      <c r="F27" s="16"/>
      <c r="G27" s="15"/>
      <c r="H27" s="15"/>
      <c r="I27" s="17"/>
      <c r="K27" s="20" t="s">
        <v>19</v>
      </c>
      <c r="L27" s="1" t="s">
        <v>4</v>
      </c>
      <c r="M27" s="21">
        <v>-2.7</v>
      </c>
      <c r="N27" s="21">
        <v>-2.8</v>
      </c>
      <c r="O27" s="21">
        <v>12</v>
      </c>
      <c r="P27" s="22">
        <v>0</v>
      </c>
      <c r="Q27" s="21">
        <v>-1.3</v>
      </c>
      <c r="R27" s="21">
        <v>-1.4</v>
      </c>
      <c r="S27" s="23">
        <v>0</v>
      </c>
    </row>
    <row r="28" spans="1:19" ht="13" x14ac:dyDescent="0.3">
      <c r="A28" s="20" t="s">
        <v>1</v>
      </c>
      <c r="B28" s="1" t="s">
        <v>4</v>
      </c>
      <c r="C28" s="21">
        <v>-1.6</v>
      </c>
      <c r="D28" s="21">
        <v>0</v>
      </c>
      <c r="E28" s="21">
        <v>0</v>
      </c>
      <c r="F28" s="22">
        <v>0.9</v>
      </c>
      <c r="G28" s="21">
        <v>-0.6</v>
      </c>
      <c r="H28" s="21">
        <v>0</v>
      </c>
      <c r="I28" s="23">
        <v>0</v>
      </c>
      <c r="K28" s="20"/>
      <c r="M28" s="15"/>
      <c r="N28" s="15"/>
      <c r="O28" s="15"/>
      <c r="P28" s="16"/>
      <c r="Q28" s="15"/>
      <c r="R28" s="15"/>
      <c r="S28" s="17"/>
    </row>
    <row r="29" spans="1:19" ht="13" x14ac:dyDescent="0.3">
      <c r="A29" s="20"/>
      <c r="C29" s="15"/>
      <c r="D29" s="15"/>
      <c r="E29" s="15"/>
      <c r="F29" s="16"/>
      <c r="G29" s="15"/>
      <c r="H29" s="15"/>
      <c r="I29" s="17"/>
      <c r="K29" s="20" t="s">
        <v>9</v>
      </c>
      <c r="L29" s="1" t="s">
        <v>4</v>
      </c>
      <c r="M29" s="21">
        <v>-1.9</v>
      </c>
      <c r="N29" s="21">
        <v>-2.2000000000000002</v>
      </c>
      <c r="O29" s="21">
        <v>0</v>
      </c>
      <c r="P29" s="22">
        <v>0</v>
      </c>
      <c r="Q29" s="21">
        <v>-1.5</v>
      </c>
      <c r="R29" s="21">
        <v>-4.3</v>
      </c>
      <c r="S29" s="23">
        <v>0</v>
      </c>
    </row>
    <row r="30" spans="1:19" ht="13" x14ac:dyDescent="0.3">
      <c r="A30" s="20" t="s">
        <v>2</v>
      </c>
      <c r="B30" s="1" t="s">
        <v>4</v>
      </c>
      <c r="C30" s="21">
        <v>0</v>
      </c>
      <c r="D30" s="21">
        <v>0</v>
      </c>
      <c r="E30" s="21">
        <v>1.6</v>
      </c>
      <c r="F30" s="22">
        <v>0</v>
      </c>
      <c r="G30" s="21">
        <v>-1.5</v>
      </c>
      <c r="H30" s="21">
        <v>0</v>
      </c>
      <c r="I30" s="23">
        <v>3.2</v>
      </c>
      <c r="K30" s="24"/>
      <c r="L30" s="25"/>
      <c r="M30" s="25"/>
      <c r="N30" s="25"/>
      <c r="O30" s="25"/>
      <c r="P30" s="25"/>
      <c r="Q30" s="25"/>
      <c r="R30" s="25"/>
      <c r="S30" s="26"/>
    </row>
    <row r="31" spans="1:19" ht="13" x14ac:dyDescent="0.3">
      <c r="A31" s="20"/>
      <c r="C31" s="15"/>
      <c r="D31" s="15"/>
      <c r="E31" s="15"/>
      <c r="F31" s="16"/>
      <c r="G31" s="15"/>
      <c r="H31" s="15"/>
      <c r="I31" s="17"/>
    </row>
    <row r="32" spans="1:19" ht="13" x14ac:dyDescent="0.3">
      <c r="A32" s="20" t="s">
        <v>16</v>
      </c>
      <c r="B32" s="1" t="s">
        <v>4</v>
      </c>
      <c r="C32" s="21">
        <v>0</v>
      </c>
      <c r="D32" s="21">
        <v>0</v>
      </c>
      <c r="E32" s="21">
        <v>1.6</v>
      </c>
      <c r="F32" s="22">
        <v>0</v>
      </c>
      <c r="G32" s="21">
        <v>-1.5</v>
      </c>
      <c r="H32" s="21">
        <v>0</v>
      </c>
      <c r="I32" s="23">
        <v>1.6</v>
      </c>
    </row>
    <row r="33" spans="1:9" ht="13" x14ac:dyDescent="0.3">
      <c r="A33" s="20"/>
      <c r="C33" s="15"/>
      <c r="D33" s="15"/>
      <c r="E33" s="15"/>
      <c r="F33" s="16"/>
      <c r="G33" s="15"/>
      <c r="H33" s="15"/>
      <c r="I33" s="17"/>
    </row>
    <row r="34" spans="1:9" ht="13" x14ac:dyDescent="0.3">
      <c r="A34" s="20" t="s">
        <v>17</v>
      </c>
      <c r="B34" s="1" t="s">
        <v>4</v>
      </c>
      <c r="C34" s="21">
        <v>0</v>
      </c>
      <c r="D34" s="21">
        <v>0</v>
      </c>
      <c r="E34" s="21">
        <v>0.7</v>
      </c>
      <c r="F34" s="22">
        <v>0</v>
      </c>
      <c r="G34" s="21">
        <v>-1.5</v>
      </c>
      <c r="H34" s="21">
        <v>0</v>
      </c>
      <c r="I34" s="23">
        <v>0.7</v>
      </c>
    </row>
    <row r="35" spans="1:9" x14ac:dyDescent="0.25">
      <c r="A35" s="24"/>
      <c r="B35" s="25"/>
      <c r="C35" s="25"/>
      <c r="D35" s="25"/>
      <c r="E35" s="25"/>
      <c r="F35" s="25"/>
      <c r="G35" s="25"/>
      <c r="H35" s="25"/>
      <c r="I35" s="26"/>
    </row>
    <row r="38" spans="1:9" ht="13" x14ac:dyDescent="0.3">
      <c r="A38" s="4" t="s">
        <v>44</v>
      </c>
    </row>
    <row r="39" spans="1:9" ht="13" x14ac:dyDescent="0.3">
      <c r="A39" s="5" t="s">
        <v>45</v>
      </c>
    </row>
  </sheetData>
  <mergeCells count="13">
    <mergeCell ref="A4:I4"/>
    <mergeCell ref="A24:I24"/>
    <mergeCell ref="A9:A10"/>
    <mergeCell ref="A12:A13"/>
    <mergeCell ref="A15:A16"/>
    <mergeCell ref="A18:A19"/>
    <mergeCell ref="A21:A22"/>
    <mergeCell ref="K21:S21"/>
    <mergeCell ref="K4:S4"/>
    <mergeCell ref="K9:K10"/>
    <mergeCell ref="K12:K13"/>
    <mergeCell ref="K15:K16"/>
    <mergeCell ref="K18:K19"/>
  </mergeCell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zoomScale="90" zoomScaleNormal="90" workbookViewId="0">
      <selection activeCell="A53" sqref="A53"/>
    </sheetView>
  </sheetViews>
  <sheetFormatPr baseColWidth="10" defaultColWidth="8.90625" defaultRowHeight="12.5" x14ac:dyDescent="0.25"/>
  <cols>
    <col min="1" max="1" width="18.1796875" style="1" customWidth="1"/>
    <col min="2" max="2" width="6.453125" style="1" customWidth="1"/>
    <col min="3" max="9" width="10.36328125" style="1" customWidth="1"/>
    <col min="10" max="10" width="6.90625" style="1" customWidth="1"/>
    <col min="11" max="11" width="21" style="1" customWidth="1"/>
    <col min="12" max="12" width="8.90625" style="1"/>
    <col min="13" max="13" width="9.6328125" style="1" customWidth="1"/>
    <col min="14" max="14" width="10.6328125" style="1" customWidth="1"/>
    <col min="15" max="16384" width="8.90625" style="1"/>
  </cols>
  <sheetData>
    <row r="1" spans="1:14" ht="20" x14ac:dyDescent="0.4">
      <c r="A1" s="7" t="s">
        <v>38</v>
      </c>
    </row>
    <row r="2" spans="1:14" ht="15" customHeight="1" x14ac:dyDescent="0.3">
      <c r="A2" s="8">
        <v>45881</v>
      </c>
    </row>
    <row r="4" spans="1:14" ht="18" customHeight="1" x14ac:dyDescent="0.35">
      <c r="A4" s="65" t="s">
        <v>20</v>
      </c>
      <c r="B4" s="66"/>
      <c r="C4" s="66"/>
      <c r="D4" s="66"/>
      <c r="E4" s="66"/>
      <c r="F4" s="66"/>
      <c r="G4" s="66"/>
      <c r="H4" s="66"/>
      <c r="I4" s="67"/>
      <c r="K4" s="56" t="s">
        <v>47</v>
      </c>
      <c r="L4" s="57"/>
      <c r="M4" s="57"/>
      <c r="N4" s="58"/>
    </row>
    <row r="5" spans="1:14" ht="18" customHeight="1" x14ac:dyDescent="0.25">
      <c r="A5" s="68" t="s">
        <v>28</v>
      </c>
      <c r="B5" s="69"/>
      <c r="C5" s="69"/>
      <c r="D5" s="69"/>
      <c r="E5" s="69"/>
      <c r="F5" s="69"/>
      <c r="G5" s="69"/>
      <c r="H5" s="69"/>
      <c r="I5" s="70"/>
      <c r="K5" s="59" t="s">
        <v>31</v>
      </c>
      <c r="L5" s="60"/>
      <c r="M5" s="60"/>
      <c r="N5" s="61"/>
    </row>
    <row r="6" spans="1:14" x14ac:dyDescent="0.25">
      <c r="A6" s="9"/>
      <c r="I6" s="10"/>
      <c r="K6" s="9"/>
      <c r="N6" s="10"/>
    </row>
    <row r="7" spans="1:14" ht="13" x14ac:dyDescent="0.3">
      <c r="A7" s="37" t="s">
        <v>29</v>
      </c>
      <c r="C7" s="12" t="s">
        <v>39</v>
      </c>
      <c r="D7" s="12" t="s">
        <v>10</v>
      </c>
      <c r="E7" s="12" t="s">
        <v>11</v>
      </c>
      <c r="F7" s="12" t="s">
        <v>12</v>
      </c>
      <c r="G7" s="13" t="s">
        <v>13</v>
      </c>
      <c r="H7" s="12" t="s">
        <v>13</v>
      </c>
      <c r="I7" s="14" t="s">
        <v>15</v>
      </c>
      <c r="K7" s="9"/>
      <c r="L7" s="30">
        <v>45839</v>
      </c>
      <c r="M7" s="30">
        <v>45870</v>
      </c>
      <c r="N7" s="31" t="s">
        <v>32</v>
      </c>
    </row>
    <row r="8" spans="1:14" x14ac:dyDescent="0.25">
      <c r="A8" s="38"/>
      <c r="C8" s="15" t="s">
        <v>48</v>
      </c>
      <c r="D8" s="15" t="s">
        <v>48</v>
      </c>
      <c r="E8" s="15" t="s">
        <v>48</v>
      </c>
      <c r="F8" s="15" t="s">
        <v>48</v>
      </c>
      <c r="G8" s="16" t="s">
        <v>49</v>
      </c>
      <c r="H8" s="15" t="s">
        <v>48</v>
      </c>
      <c r="I8" s="17" t="s">
        <v>48</v>
      </c>
      <c r="K8" s="9"/>
      <c r="L8" s="15"/>
      <c r="M8" s="15"/>
      <c r="N8" s="17"/>
    </row>
    <row r="9" spans="1:14" ht="13" x14ac:dyDescent="0.3">
      <c r="A9" s="39"/>
      <c r="G9" s="18"/>
      <c r="I9" s="10"/>
      <c r="K9" s="42" t="s">
        <v>0</v>
      </c>
      <c r="L9" s="21">
        <v>214.9</v>
      </c>
      <c r="M9" s="21">
        <v>216.1</v>
      </c>
      <c r="N9" s="23">
        <v>0.6</v>
      </c>
    </row>
    <row r="10" spans="1:14" ht="13" x14ac:dyDescent="0.3">
      <c r="A10" s="51" t="s">
        <v>0</v>
      </c>
      <c r="B10" s="1" t="s">
        <v>3</v>
      </c>
      <c r="C10" s="35">
        <v>584</v>
      </c>
      <c r="D10" s="35">
        <v>591</v>
      </c>
      <c r="E10" s="35">
        <v>591</v>
      </c>
      <c r="F10" s="35">
        <v>568</v>
      </c>
      <c r="G10" s="41">
        <v>520</v>
      </c>
      <c r="H10" s="35">
        <v>597</v>
      </c>
      <c r="I10" s="36">
        <v>586</v>
      </c>
      <c r="K10" s="42"/>
      <c r="L10" s="21"/>
      <c r="M10" s="21"/>
      <c r="N10" s="23"/>
    </row>
    <row r="11" spans="1:14" ht="13" x14ac:dyDescent="0.3">
      <c r="A11" s="51"/>
      <c r="B11" s="1" t="s">
        <v>4</v>
      </c>
      <c r="C11" s="35">
        <v>564</v>
      </c>
      <c r="D11" s="35">
        <v>571</v>
      </c>
      <c r="E11" s="35">
        <v>571</v>
      </c>
      <c r="F11" s="35">
        <v>553</v>
      </c>
      <c r="G11" s="41">
        <v>500</v>
      </c>
      <c r="H11" s="35">
        <v>574</v>
      </c>
      <c r="I11" s="36">
        <v>561</v>
      </c>
      <c r="K11" s="42" t="s">
        <v>1</v>
      </c>
      <c r="L11" s="21">
        <v>222.3</v>
      </c>
      <c r="M11" s="21">
        <v>220.6</v>
      </c>
      <c r="N11" s="23">
        <v>-0.8</v>
      </c>
    </row>
    <row r="12" spans="1:14" ht="13" x14ac:dyDescent="0.3">
      <c r="A12" s="19"/>
      <c r="C12" s="15"/>
      <c r="D12" s="15"/>
      <c r="E12" s="15"/>
      <c r="F12" s="15"/>
      <c r="G12" s="16"/>
      <c r="H12" s="15"/>
      <c r="I12" s="17"/>
      <c r="K12" s="42"/>
      <c r="L12" s="21"/>
      <c r="M12" s="21"/>
      <c r="N12" s="23"/>
    </row>
    <row r="13" spans="1:14" ht="13" x14ac:dyDescent="0.3">
      <c r="A13" s="51" t="s">
        <v>1</v>
      </c>
      <c r="B13" s="1" t="s">
        <v>3</v>
      </c>
      <c r="C13" s="35">
        <v>663</v>
      </c>
      <c r="D13" s="35">
        <v>665</v>
      </c>
      <c r="E13" s="35">
        <v>665</v>
      </c>
      <c r="F13" s="35">
        <v>635</v>
      </c>
      <c r="G13" s="41">
        <v>614</v>
      </c>
      <c r="H13" s="35">
        <v>705</v>
      </c>
      <c r="I13" s="36">
        <v>655</v>
      </c>
      <c r="K13" s="42" t="s">
        <v>2</v>
      </c>
      <c r="L13" s="21">
        <v>180.5</v>
      </c>
      <c r="M13" s="21">
        <v>181.3</v>
      </c>
      <c r="N13" s="23">
        <v>0.4</v>
      </c>
    </row>
    <row r="14" spans="1:14" ht="13" x14ac:dyDescent="0.3">
      <c r="A14" s="51"/>
      <c r="B14" s="1" t="s">
        <v>4</v>
      </c>
      <c r="C14" s="35">
        <v>633</v>
      </c>
      <c r="D14" s="35">
        <v>635</v>
      </c>
      <c r="E14" s="35">
        <v>635</v>
      </c>
      <c r="F14" s="35">
        <v>605</v>
      </c>
      <c r="G14" s="41">
        <v>589</v>
      </c>
      <c r="H14" s="35">
        <v>676</v>
      </c>
      <c r="I14" s="36">
        <v>625</v>
      </c>
      <c r="K14" s="42"/>
      <c r="L14" s="21"/>
      <c r="M14" s="21"/>
      <c r="N14" s="23"/>
    </row>
    <row r="15" spans="1:14" ht="13" x14ac:dyDescent="0.3">
      <c r="A15" s="19"/>
      <c r="C15" s="15"/>
      <c r="D15" s="15"/>
      <c r="E15" s="15"/>
      <c r="F15" s="15"/>
      <c r="G15" s="16"/>
      <c r="H15" s="15"/>
      <c r="I15" s="17"/>
      <c r="K15" s="42" t="s">
        <v>16</v>
      </c>
      <c r="L15" s="21">
        <v>160.30000000000001</v>
      </c>
      <c r="M15" s="21">
        <v>160.30000000000001</v>
      </c>
      <c r="N15" s="23">
        <v>0</v>
      </c>
    </row>
    <row r="16" spans="1:14" ht="13" x14ac:dyDescent="0.3">
      <c r="A16" s="51" t="s">
        <v>2</v>
      </c>
      <c r="B16" s="1" t="s">
        <v>3</v>
      </c>
      <c r="C16" s="35">
        <v>680</v>
      </c>
      <c r="D16" s="35">
        <v>686</v>
      </c>
      <c r="E16" s="35">
        <v>686</v>
      </c>
      <c r="F16" s="35">
        <v>665</v>
      </c>
      <c r="G16" s="41">
        <v>599</v>
      </c>
      <c r="H16" s="35">
        <v>688</v>
      </c>
      <c r="I16" s="36">
        <v>676</v>
      </c>
      <c r="K16" s="42"/>
      <c r="L16" s="21"/>
      <c r="M16" s="21"/>
      <c r="N16" s="23"/>
    </row>
    <row r="17" spans="1:14" ht="13" x14ac:dyDescent="0.3">
      <c r="A17" s="51"/>
      <c r="B17" s="1" t="s">
        <v>4</v>
      </c>
      <c r="C17" s="35">
        <v>660</v>
      </c>
      <c r="D17" s="35">
        <v>666</v>
      </c>
      <c r="E17" s="35">
        <v>666</v>
      </c>
      <c r="F17" s="35">
        <v>650</v>
      </c>
      <c r="G17" s="41">
        <v>569</v>
      </c>
      <c r="H17" s="35">
        <v>653</v>
      </c>
      <c r="I17" s="36">
        <v>656</v>
      </c>
      <c r="K17" s="42" t="s">
        <v>17</v>
      </c>
      <c r="L17" s="21">
        <v>187.6</v>
      </c>
      <c r="M17" s="21">
        <v>187.4</v>
      </c>
      <c r="N17" s="23">
        <v>-0.1</v>
      </c>
    </row>
    <row r="18" spans="1:14" ht="13" x14ac:dyDescent="0.3">
      <c r="A18" s="19"/>
      <c r="C18" s="15"/>
      <c r="D18" s="15"/>
      <c r="E18" s="15"/>
      <c r="F18" s="15"/>
      <c r="G18" s="16"/>
      <c r="H18" s="15"/>
      <c r="I18" s="17"/>
      <c r="K18" s="42"/>
      <c r="L18" s="21"/>
      <c r="M18" s="21"/>
      <c r="N18" s="23"/>
    </row>
    <row r="19" spans="1:14" ht="13" x14ac:dyDescent="0.3">
      <c r="A19" s="51" t="s">
        <v>5</v>
      </c>
      <c r="B19" s="1" t="s">
        <v>3</v>
      </c>
      <c r="C19" s="35">
        <v>761</v>
      </c>
      <c r="D19" s="35">
        <v>765</v>
      </c>
      <c r="E19" s="35">
        <v>755</v>
      </c>
      <c r="F19" s="35">
        <v>735</v>
      </c>
      <c r="G19" s="41">
        <v>695</v>
      </c>
      <c r="H19" s="35">
        <v>798</v>
      </c>
      <c r="I19" s="36">
        <v>745</v>
      </c>
      <c r="K19" s="43" t="s">
        <v>33</v>
      </c>
      <c r="L19" s="21">
        <v>227.9</v>
      </c>
      <c r="M19" s="21">
        <v>225.7</v>
      </c>
      <c r="N19" s="23">
        <v>-1</v>
      </c>
    </row>
    <row r="20" spans="1:14" ht="13" x14ac:dyDescent="0.3">
      <c r="A20" s="51"/>
      <c r="B20" s="1" t="s">
        <v>4</v>
      </c>
      <c r="C20" s="35">
        <v>739</v>
      </c>
      <c r="D20" s="35">
        <v>745</v>
      </c>
      <c r="E20" s="35">
        <v>735</v>
      </c>
      <c r="F20" s="35">
        <v>720</v>
      </c>
      <c r="G20" s="41">
        <v>665</v>
      </c>
      <c r="H20" s="35">
        <v>763</v>
      </c>
      <c r="I20" s="36">
        <v>725</v>
      </c>
      <c r="K20" s="42"/>
      <c r="L20" s="21"/>
      <c r="M20" s="21"/>
      <c r="N20" s="23"/>
    </row>
    <row r="21" spans="1:14" ht="13" x14ac:dyDescent="0.3">
      <c r="A21" s="19"/>
      <c r="C21" s="15"/>
      <c r="D21" s="15"/>
      <c r="E21" s="15"/>
      <c r="F21" s="15"/>
      <c r="G21" s="16"/>
      <c r="H21" s="15"/>
      <c r="I21" s="17"/>
      <c r="K21" s="43" t="s">
        <v>34</v>
      </c>
      <c r="L21" s="21">
        <v>247.3</v>
      </c>
      <c r="M21" s="21">
        <v>246.4</v>
      </c>
      <c r="N21" s="23">
        <v>-0.4</v>
      </c>
    </row>
    <row r="22" spans="1:14" x14ac:dyDescent="0.25">
      <c r="A22" s="51" t="s">
        <v>6</v>
      </c>
      <c r="B22" s="1" t="s">
        <v>3</v>
      </c>
      <c r="C22" s="35">
        <v>816</v>
      </c>
      <c r="D22" s="35">
        <v>823</v>
      </c>
      <c r="E22" s="35">
        <v>823</v>
      </c>
      <c r="F22" s="35">
        <v>793</v>
      </c>
      <c r="G22" s="41">
        <v>720</v>
      </c>
      <c r="H22" s="35">
        <v>827</v>
      </c>
      <c r="I22" s="36">
        <v>798</v>
      </c>
      <c r="K22" s="39"/>
      <c r="L22" s="21"/>
      <c r="M22" s="21"/>
      <c r="N22" s="23"/>
    </row>
    <row r="23" spans="1:14" ht="13" x14ac:dyDescent="0.3">
      <c r="A23" s="51"/>
      <c r="B23" s="1" t="s">
        <v>4</v>
      </c>
      <c r="C23" s="35">
        <v>789</v>
      </c>
      <c r="D23" s="35">
        <v>793</v>
      </c>
      <c r="E23" s="35">
        <v>793</v>
      </c>
      <c r="F23" s="35">
        <v>778</v>
      </c>
      <c r="G23" s="41">
        <v>690</v>
      </c>
      <c r="H23" s="35">
        <v>792</v>
      </c>
      <c r="I23" s="36">
        <v>778</v>
      </c>
      <c r="K23" s="42" t="s">
        <v>40</v>
      </c>
      <c r="L23" s="21">
        <v>244.6</v>
      </c>
      <c r="M23" s="21">
        <v>243.3</v>
      </c>
      <c r="N23" s="23">
        <v>-0.5</v>
      </c>
    </row>
    <row r="24" spans="1:14" ht="13" x14ac:dyDescent="0.3">
      <c r="A24" s="24"/>
      <c r="B24" s="25"/>
      <c r="C24" s="25"/>
      <c r="D24" s="25"/>
      <c r="E24" s="25"/>
      <c r="F24" s="25"/>
      <c r="G24" s="25"/>
      <c r="H24" s="25"/>
      <c r="I24" s="26"/>
      <c r="K24" s="42"/>
      <c r="L24" s="21"/>
      <c r="M24" s="21"/>
      <c r="N24" s="23"/>
    </row>
    <row r="25" spans="1:14" ht="13" x14ac:dyDescent="0.3">
      <c r="A25" s="32"/>
      <c r="B25" s="33"/>
      <c r="C25" s="33"/>
      <c r="D25" s="33"/>
      <c r="E25" s="33"/>
      <c r="F25" s="33"/>
      <c r="G25" s="33"/>
      <c r="H25" s="33"/>
      <c r="I25" s="34"/>
      <c r="K25" s="42" t="s">
        <v>41</v>
      </c>
      <c r="L25" s="21">
        <v>220.9</v>
      </c>
      <c r="M25" s="21">
        <v>219.8</v>
      </c>
      <c r="N25" s="23">
        <v>-0.5</v>
      </c>
    </row>
    <row r="26" spans="1:14" ht="13" x14ac:dyDescent="0.3">
      <c r="A26" s="37" t="s">
        <v>30</v>
      </c>
      <c r="C26" s="12" t="s">
        <v>39</v>
      </c>
      <c r="D26" s="12" t="s">
        <v>10</v>
      </c>
      <c r="E26" s="12" t="s">
        <v>11</v>
      </c>
      <c r="F26" s="12" t="s">
        <v>12</v>
      </c>
      <c r="G26" s="13" t="s">
        <v>13</v>
      </c>
      <c r="H26" s="12" t="s">
        <v>13</v>
      </c>
      <c r="I26" s="14" t="s">
        <v>15</v>
      </c>
      <c r="K26" s="39"/>
      <c r="L26" s="21"/>
      <c r="M26" s="21"/>
      <c r="N26" s="23"/>
    </row>
    <row r="27" spans="1:14" ht="13" x14ac:dyDescent="0.3">
      <c r="A27" s="38"/>
      <c r="C27" s="15" t="s">
        <v>48</v>
      </c>
      <c r="D27" s="15" t="s">
        <v>48</v>
      </c>
      <c r="E27" s="15" t="s">
        <v>48</v>
      </c>
      <c r="F27" s="15" t="s">
        <v>48</v>
      </c>
      <c r="G27" s="16" t="s">
        <v>49</v>
      </c>
      <c r="H27" s="15" t="s">
        <v>48</v>
      </c>
      <c r="I27" s="17" t="s">
        <v>48</v>
      </c>
      <c r="K27" s="42" t="s">
        <v>8</v>
      </c>
      <c r="L27" s="21">
        <v>251.5</v>
      </c>
      <c r="M27" s="21">
        <v>255.9</v>
      </c>
      <c r="N27" s="23">
        <v>1.7</v>
      </c>
    </row>
    <row r="28" spans="1:14" ht="13" x14ac:dyDescent="0.3">
      <c r="A28" s="39"/>
      <c r="G28" s="18"/>
      <c r="I28" s="10"/>
      <c r="K28" s="42"/>
      <c r="L28" s="21"/>
      <c r="M28" s="21"/>
      <c r="N28" s="23"/>
    </row>
    <row r="29" spans="1:14" ht="13" x14ac:dyDescent="0.3">
      <c r="A29" s="40" t="s">
        <v>7</v>
      </c>
      <c r="B29" s="1" t="s">
        <v>3</v>
      </c>
      <c r="C29" s="35">
        <v>627</v>
      </c>
      <c r="D29" s="35">
        <v>640</v>
      </c>
      <c r="E29" s="35">
        <v>640</v>
      </c>
      <c r="F29" s="35">
        <v>610</v>
      </c>
      <c r="G29" s="41">
        <v>540</v>
      </c>
      <c r="H29" s="35">
        <v>620</v>
      </c>
      <c r="I29" s="36">
        <v>615</v>
      </c>
      <c r="K29" s="42" t="s">
        <v>35</v>
      </c>
      <c r="L29" s="21">
        <v>254.5</v>
      </c>
      <c r="M29" s="21">
        <v>253</v>
      </c>
      <c r="N29" s="23">
        <v>-0.6</v>
      </c>
    </row>
    <row r="30" spans="1:14" ht="12" customHeight="1" x14ac:dyDescent="0.25">
      <c r="A30" s="40" t="s">
        <v>42</v>
      </c>
      <c r="B30" s="1" t="s">
        <v>4</v>
      </c>
      <c r="C30" s="35">
        <v>598</v>
      </c>
      <c r="D30" s="35">
        <v>610</v>
      </c>
      <c r="E30" s="35">
        <v>610</v>
      </c>
      <c r="F30" s="35">
        <v>580</v>
      </c>
      <c r="G30" s="41">
        <v>510</v>
      </c>
      <c r="H30" s="35">
        <v>586</v>
      </c>
      <c r="I30" s="36">
        <v>605</v>
      </c>
      <c r="K30" s="39"/>
      <c r="L30" s="21"/>
      <c r="M30" s="21"/>
      <c r="N30" s="23"/>
    </row>
    <row r="31" spans="1:14" ht="13" x14ac:dyDescent="0.3">
      <c r="A31" s="40"/>
      <c r="C31" s="15"/>
      <c r="D31" s="15"/>
      <c r="E31" s="15"/>
      <c r="F31" s="15"/>
      <c r="G31" s="16"/>
      <c r="H31" s="15"/>
      <c r="I31" s="17"/>
      <c r="K31" s="42" t="s">
        <v>36</v>
      </c>
      <c r="L31" s="21">
        <v>260.89999999999998</v>
      </c>
      <c r="M31" s="21">
        <v>259.3</v>
      </c>
      <c r="N31" s="23">
        <v>-0.6</v>
      </c>
    </row>
    <row r="32" spans="1:14" ht="13" x14ac:dyDescent="0.25">
      <c r="A32" s="40" t="s">
        <v>7</v>
      </c>
      <c r="B32" s="1" t="s">
        <v>3</v>
      </c>
      <c r="C32" s="35">
        <v>604</v>
      </c>
      <c r="D32" s="35">
        <v>610</v>
      </c>
      <c r="E32" s="35">
        <v>610</v>
      </c>
      <c r="F32" s="35">
        <v>590</v>
      </c>
      <c r="G32" s="41">
        <v>540</v>
      </c>
      <c r="H32" s="35">
        <v>620</v>
      </c>
      <c r="I32" s="36">
        <v>600</v>
      </c>
      <c r="K32" s="24"/>
      <c r="L32" s="25"/>
      <c r="M32" s="25"/>
      <c r="N32" s="26"/>
    </row>
    <row r="33" spans="1:9" ht="13" x14ac:dyDescent="0.25">
      <c r="A33" s="40" t="s">
        <v>43</v>
      </c>
      <c r="B33" s="1" t="s">
        <v>4</v>
      </c>
      <c r="C33" s="35">
        <v>584</v>
      </c>
      <c r="D33" s="35">
        <v>590</v>
      </c>
      <c r="E33" s="35">
        <v>590</v>
      </c>
      <c r="F33" s="35">
        <v>570</v>
      </c>
      <c r="G33" s="41">
        <v>510</v>
      </c>
      <c r="H33" s="35">
        <v>586</v>
      </c>
      <c r="I33" s="36">
        <v>590</v>
      </c>
    </row>
    <row r="34" spans="1:9" ht="13" x14ac:dyDescent="0.25">
      <c r="A34" s="40"/>
      <c r="C34" s="15"/>
      <c r="D34" s="15"/>
      <c r="E34" s="15"/>
      <c r="F34" s="15"/>
      <c r="G34" s="16"/>
      <c r="H34" s="15"/>
      <c r="I34" s="17"/>
    </row>
    <row r="35" spans="1:9" x14ac:dyDescent="0.25">
      <c r="A35" s="62" t="s">
        <v>21</v>
      </c>
      <c r="B35" s="1" t="s">
        <v>3</v>
      </c>
      <c r="C35" s="35">
        <v>761</v>
      </c>
      <c r="D35" s="35">
        <v>755</v>
      </c>
      <c r="E35" s="35">
        <v>770</v>
      </c>
      <c r="F35" s="35">
        <v>780</v>
      </c>
      <c r="G35" s="41">
        <v>660</v>
      </c>
      <c r="H35" s="35">
        <v>758</v>
      </c>
      <c r="I35" s="36">
        <v>750</v>
      </c>
    </row>
    <row r="36" spans="1:9" x14ac:dyDescent="0.25">
      <c r="A36" s="63"/>
      <c r="B36" s="1" t="s">
        <v>4</v>
      </c>
      <c r="C36" s="35">
        <v>747</v>
      </c>
      <c r="D36" s="35">
        <v>745</v>
      </c>
      <c r="E36" s="35">
        <v>760</v>
      </c>
      <c r="F36" s="35">
        <v>760</v>
      </c>
      <c r="G36" s="41">
        <v>640</v>
      </c>
      <c r="H36" s="35">
        <v>735</v>
      </c>
      <c r="I36" s="36">
        <v>740</v>
      </c>
    </row>
    <row r="37" spans="1:9" ht="13" x14ac:dyDescent="0.25">
      <c r="A37" s="40"/>
      <c r="C37" s="15"/>
      <c r="D37" s="15"/>
      <c r="E37" s="15"/>
      <c r="F37" s="15"/>
      <c r="G37" s="16"/>
      <c r="H37" s="15"/>
      <c r="I37" s="17"/>
    </row>
    <row r="38" spans="1:9" ht="13.25" customHeight="1" x14ac:dyDescent="0.25">
      <c r="A38" s="62" t="s">
        <v>22</v>
      </c>
      <c r="B38" s="1" t="s">
        <v>3</v>
      </c>
      <c r="C38" s="35">
        <v>781</v>
      </c>
      <c r="D38" s="35">
        <v>775</v>
      </c>
      <c r="E38" s="35">
        <v>790</v>
      </c>
      <c r="F38" s="35">
        <v>800</v>
      </c>
      <c r="G38" s="41">
        <v>675</v>
      </c>
      <c r="H38" s="35">
        <v>775</v>
      </c>
      <c r="I38" s="36">
        <v>770</v>
      </c>
    </row>
    <row r="39" spans="1:9" ht="13.25" customHeight="1" x14ac:dyDescent="0.25">
      <c r="A39" s="63"/>
      <c r="B39" s="1" t="s">
        <v>4</v>
      </c>
      <c r="C39" s="35">
        <v>767</v>
      </c>
      <c r="D39" s="35">
        <v>765</v>
      </c>
      <c r="E39" s="35">
        <v>780</v>
      </c>
      <c r="F39" s="35">
        <v>780</v>
      </c>
      <c r="G39" s="41">
        <v>655</v>
      </c>
      <c r="H39" s="35">
        <v>752</v>
      </c>
      <c r="I39" s="36">
        <v>760</v>
      </c>
    </row>
    <row r="40" spans="1:9" ht="13" x14ac:dyDescent="0.25">
      <c r="A40" s="40"/>
      <c r="C40" s="35">
        <f>C39-[1]Transaction!C39</f>
        <v>-4</v>
      </c>
      <c r="D40" s="35">
        <f>D39-[1]Transaction!D39</f>
        <v>-5</v>
      </c>
      <c r="E40" s="35">
        <f>E39-[1]Transaction!E39</f>
        <v>0</v>
      </c>
      <c r="F40" s="35">
        <f>F39-[1]Transaction!F39</f>
        <v>0</v>
      </c>
      <c r="G40" s="35">
        <f>G39-[1]Transaction!G39</f>
        <v>0</v>
      </c>
      <c r="H40" s="35">
        <f>H39-[1]Transaction!H39</f>
        <v>-11</v>
      </c>
      <c r="I40" s="35">
        <f>I39-[1]Transaction!I39</f>
        <v>0</v>
      </c>
    </row>
    <row r="41" spans="1:9" x14ac:dyDescent="0.25">
      <c r="A41" s="62" t="s">
        <v>8</v>
      </c>
      <c r="B41" s="1" t="s">
        <v>3</v>
      </c>
      <c r="C41" s="35">
        <v>601</v>
      </c>
      <c r="D41" s="35">
        <v>630</v>
      </c>
      <c r="E41" s="35">
        <v>625</v>
      </c>
      <c r="F41" s="35">
        <v>570</v>
      </c>
      <c r="G41" s="41">
        <v>530</v>
      </c>
      <c r="H41" s="35">
        <v>608</v>
      </c>
      <c r="I41" s="36">
        <v>630</v>
      </c>
    </row>
    <row r="42" spans="1:9" x14ac:dyDescent="0.25">
      <c r="A42" s="63"/>
      <c r="B42" s="1" t="s">
        <v>4</v>
      </c>
      <c r="C42" s="35">
        <v>581</v>
      </c>
      <c r="D42" s="35">
        <v>620</v>
      </c>
      <c r="E42" s="35">
        <v>610</v>
      </c>
      <c r="F42" s="35">
        <v>540</v>
      </c>
      <c r="G42" s="41">
        <v>510</v>
      </c>
      <c r="H42" s="35">
        <v>586</v>
      </c>
      <c r="I42" s="36">
        <v>620</v>
      </c>
    </row>
    <row r="43" spans="1:9" ht="13" x14ac:dyDescent="0.25">
      <c r="A43" s="40"/>
      <c r="C43" s="35">
        <f>C42-[1]Transaction!C42</f>
        <v>10</v>
      </c>
      <c r="D43" s="35">
        <f>D42-[1]Transaction!D42</f>
        <v>-10</v>
      </c>
      <c r="E43" s="35">
        <f>E42-[1]Transaction!E42</f>
        <v>-10</v>
      </c>
      <c r="F43" s="35">
        <f>F42-[1]Transaction!F42</f>
        <v>30</v>
      </c>
      <c r="G43" s="35">
        <f>G42-[1]Transaction!G42</f>
        <v>0</v>
      </c>
      <c r="H43" s="35">
        <f>H42-[1]Transaction!H42</f>
        <v>-8</v>
      </c>
      <c r="I43" s="35">
        <f>I42-[1]Transaction!I42</f>
        <v>0</v>
      </c>
    </row>
    <row r="44" spans="1:9" x14ac:dyDescent="0.25">
      <c r="A44" s="64" t="s">
        <v>23</v>
      </c>
      <c r="B44" s="1" t="s">
        <v>3</v>
      </c>
      <c r="C44" s="35">
        <v>690</v>
      </c>
      <c r="D44" s="35">
        <v>690</v>
      </c>
      <c r="E44" s="35">
        <v>660</v>
      </c>
      <c r="F44" s="35">
        <v>705</v>
      </c>
      <c r="G44" s="41">
        <v>615</v>
      </c>
      <c r="H44" s="35">
        <v>706</v>
      </c>
      <c r="I44" s="36">
        <v>685</v>
      </c>
    </row>
    <row r="45" spans="1:9" x14ac:dyDescent="0.25">
      <c r="A45" s="63"/>
      <c r="B45" s="1" t="s">
        <v>4</v>
      </c>
      <c r="C45" s="35">
        <v>673</v>
      </c>
      <c r="D45" s="35">
        <v>680</v>
      </c>
      <c r="E45" s="35">
        <v>650</v>
      </c>
      <c r="F45" s="35">
        <v>685</v>
      </c>
      <c r="G45" s="41">
        <v>585</v>
      </c>
      <c r="H45" s="35">
        <v>672</v>
      </c>
      <c r="I45" s="36">
        <v>665</v>
      </c>
    </row>
    <row r="46" spans="1:9" ht="13" x14ac:dyDescent="0.25">
      <c r="A46" s="40"/>
      <c r="C46" s="15"/>
      <c r="D46" s="15"/>
      <c r="E46" s="15"/>
      <c r="F46" s="15"/>
      <c r="G46" s="16"/>
      <c r="H46" s="15"/>
      <c r="I46" s="17"/>
    </row>
    <row r="47" spans="1:9" x14ac:dyDescent="0.25">
      <c r="A47" s="64" t="s">
        <v>24</v>
      </c>
      <c r="B47" s="1" t="s">
        <v>3</v>
      </c>
      <c r="C47" s="35">
        <v>686</v>
      </c>
      <c r="D47" s="35">
        <v>685</v>
      </c>
      <c r="E47" s="35">
        <v>655</v>
      </c>
      <c r="F47" s="35">
        <v>700</v>
      </c>
      <c r="G47" s="41">
        <v>615</v>
      </c>
      <c r="H47" s="35">
        <v>706</v>
      </c>
      <c r="I47" s="36">
        <v>680</v>
      </c>
    </row>
    <row r="48" spans="1:9" x14ac:dyDescent="0.25">
      <c r="A48" s="63"/>
      <c r="B48" s="1" t="s">
        <v>4</v>
      </c>
      <c r="C48" s="35">
        <v>669</v>
      </c>
      <c r="D48" s="35">
        <v>675</v>
      </c>
      <c r="E48" s="35">
        <v>645</v>
      </c>
      <c r="F48" s="35">
        <v>680</v>
      </c>
      <c r="G48" s="41">
        <v>585</v>
      </c>
      <c r="H48" s="35">
        <v>672</v>
      </c>
      <c r="I48" s="36">
        <v>660</v>
      </c>
    </row>
    <row r="49" spans="1:9" x14ac:dyDescent="0.25">
      <c r="A49" s="24"/>
      <c r="B49" s="25"/>
      <c r="C49" s="35">
        <f>C48-[1]Transaction!C48</f>
        <v>-4</v>
      </c>
      <c r="D49" s="35">
        <f>D48-[1]Transaction!D48</f>
        <v>-5</v>
      </c>
      <c r="E49" s="35">
        <f>E48-[1]Transaction!E48</f>
        <v>-5</v>
      </c>
      <c r="F49" s="35">
        <f>F48-[1]Transaction!F48</f>
        <v>0</v>
      </c>
      <c r="G49" s="35">
        <f>G48-[1]Transaction!G48</f>
        <v>0</v>
      </c>
      <c r="H49" s="35">
        <f>H48-[1]Transaction!H48</f>
        <v>-10</v>
      </c>
      <c r="I49" s="35">
        <f>I48-[1]Transaction!I48</f>
        <v>0</v>
      </c>
    </row>
    <row r="52" spans="1:9" ht="13" x14ac:dyDescent="0.3">
      <c r="A52" s="4" t="s">
        <v>44</v>
      </c>
    </row>
    <row r="53" spans="1:9" ht="13" x14ac:dyDescent="0.3">
      <c r="A53" s="5" t="s">
        <v>45</v>
      </c>
    </row>
    <row r="54" spans="1:9" x14ac:dyDescent="0.25">
      <c r="A54" s="3"/>
    </row>
  </sheetData>
  <mergeCells count="14">
    <mergeCell ref="A47:A48"/>
    <mergeCell ref="A5:I5"/>
    <mergeCell ref="A35:A36"/>
    <mergeCell ref="A22:A23"/>
    <mergeCell ref="A10:A11"/>
    <mergeCell ref="A13:A14"/>
    <mergeCell ref="A16:A17"/>
    <mergeCell ref="A19:A20"/>
    <mergeCell ref="K4:N4"/>
    <mergeCell ref="K5:N5"/>
    <mergeCell ref="A38:A39"/>
    <mergeCell ref="A41:A42"/>
    <mergeCell ref="A44:A45"/>
    <mergeCell ref="A4:I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Basis</vt:lpstr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2025-08-12T12:18:22Z</dcterms:modified>
</cp:coreProperties>
</file>